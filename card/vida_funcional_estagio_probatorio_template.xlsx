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URSISTAS" sheetId="2" state="visible" r:id="rId2"/>
    <sheet xmlns:r="http://schemas.openxmlformats.org/officeDocument/2006/relationships" name="TURMAS" sheetId="3" state="visible" r:id="rId3"/>
    <sheet xmlns:r="http://schemas.openxmlformats.org/officeDocument/2006/relationships" name="FORMADORES" sheetId="4" state="visible" r:id="rId4"/>
    <sheet xmlns:r="http://schemas.openxmlformats.org/officeDocument/2006/relationships" name="CERTIFICACOES" sheetId="5" state="visible" r:id="rId5"/>
    <sheet xmlns:r="http://schemas.openxmlformats.org/officeDocument/2006/relationships" name="CONQUISTAS" sheetId="6" state="visible" r:id="rId6"/>
    <sheet xmlns:r="http://schemas.openxmlformats.org/officeDocument/2006/relationships" name="CATALOGO_CONQUISTAS" sheetId="7" state="visible" r:id="rId7"/>
    <sheet xmlns:r="http://schemas.openxmlformats.org/officeDocument/2006/relationships" name="LISTAS" sheetId="8" state="visible" r:id="rId8"/>
  </sheets>
  <definedNames>
    <definedName name="_xlnm._FilterDatabase" localSheetId="1" hidden="1">'CURSISTAS'!$A$1:$U$101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Cursistas" displayName="tbCursistas" ref="A1:U101" headerRowCount="1">
  <autoFilter ref="A1:U101"/>
  <tableColumns count="21">
    <tableColumn id="1" name="cgm"/>
    <tableColumn id="2" name="nome"/>
    <tableColumn id="3" name="email_google"/>
    <tableColumn id="4" name="turma_id"/>
    <tableColumn id="5" name="formador_id"/>
    <tableColumn id="6" name="modalidade"/>
    <tableColumn id="7" name="inicio_concurso"/>
    <tableColumn id="8" name="inicio_estagio"/>
    <tableColumn id="9" name="ano_cursista"/>
    <tableColumn id="10" name="fim_estagio"/>
    <tableColumn id="11" name="dias_afastamento"/>
    <tableColumn id="12" name="dias_restantes"/>
    <tableColumn id="13" name="status_estagio"/>
    <tableColumn id="14" name="componente"/>
    <tableColumn id="15" name="nre"/>
    <tableColumn id="16" name="instituicao_lotacao"/>
    <tableColumn id="17" name="instituicao_exercicio"/>
    <tableColumn id="18" name="vinculo"/>
    <tableColumn id="19" name="carga_horaria"/>
    <tableColumn id="20" name="foto_google"/>
    <tableColumn id="21" name="observacoes"/>
  </tableColumns>
  <tableStyleInfo name="TableStyleMedium2" showRowStripes="1"/>
</table>
</file>

<file path=xl/tables/table2.xml><?xml version="1.0" encoding="utf-8"?>
<table xmlns="http://schemas.openxmlformats.org/spreadsheetml/2006/main" id="2" name="tbTurmas" displayName="tbTurmas" ref="A1:J51" headerRowCount="1">
  <autoFilter ref="A1:J51"/>
  <tableColumns count="10">
    <tableColumn id="1" name="turma_id"/>
    <tableColumn id="2" name="nome_turma"/>
    <tableColumn id="3" name="modalidade"/>
    <tableColumn id="4" name="componente"/>
    <tableColumn id="5" name="turno"/>
    <tableColumn id="6" name="nre"/>
    <tableColumn id="7" name="formador_id"/>
    <tableColumn id="8" name="data_inicio"/>
    <tableColumn id="9" name="data_fim"/>
    <tableColumn id="10" name="status"/>
  </tableColumns>
  <tableStyleInfo name="TableStyleMedium2" showRowStripes="1"/>
</table>
</file>

<file path=xl/tables/table3.xml><?xml version="1.0" encoding="utf-8"?>
<table xmlns="http://schemas.openxmlformats.org/spreadsheetml/2006/main" id="3" name="tbFormadores" displayName="tbFormadores" ref="A1:F51" headerRowCount="1">
  <autoFilter ref="A1:F51"/>
  <tableColumns count="6">
    <tableColumn id="1" name="formador_id"/>
    <tableColumn id="2" name="nome_formador"/>
    <tableColumn id="3" name="email"/>
    <tableColumn id="4" name="nre"/>
    <tableColumn id="5" name="componente"/>
    <tableColumn id="6" name="ativo"/>
  </tableColumns>
  <tableStyleInfo name="TableStyleMedium2" showRowStripes="1"/>
</table>
</file>

<file path=xl/tables/table4.xml><?xml version="1.0" encoding="utf-8"?>
<table xmlns="http://schemas.openxmlformats.org/spreadsheetml/2006/main" id="4" name="tbCertificacoes" displayName="tbCertificacoes" ref="A1:I201" headerRowCount="1">
  <autoFilter ref="A1:I201"/>
  <tableColumns count="9">
    <tableColumn id="1" name="certificacao_id"/>
    <tableColumn id="2" name="cgm"/>
    <tableColumn id="3" name="ano_formativo"/>
    <tableColumn id="4" name="tipo_certificacao"/>
    <tableColumn id="5" name="nome_certificacao"/>
    <tableColumn id="6" name="data_conclusao"/>
    <tableColumn id="7" name="pontuacao_xp"/>
    <tableColumn id="8" name="evidencia_url"/>
    <tableColumn id="9" name="status"/>
  </tableColumns>
  <tableStyleInfo name="TableStyleMedium4" showRowStripes="1"/>
</table>
</file>

<file path=xl/tables/table5.xml><?xml version="1.0" encoding="utf-8"?>
<table xmlns="http://schemas.openxmlformats.org/spreadsheetml/2006/main" id="5" name="tbConquistas" displayName="tbConquistas" ref="A1:H301" headerRowCount="1">
  <autoFilter ref="A1:H301"/>
  <tableColumns count="8">
    <tableColumn id="1" name="conquista_id"/>
    <tableColumn id="2" name="cgm"/>
    <tableColumn id="3" name="ano_formativo"/>
    <tableColumn id="4" name="tipo_conquista"/>
    <tableColumn id="5" name="data_conquista"/>
    <tableColumn id="6" name="xp"/>
    <tableColumn id="7" name="evidencia_url"/>
    <tableColumn id="8" name="status"/>
  </tableColumns>
  <tableStyleInfo name="TableStyleMedium5" showRowStripes="1"/>
</table>
</file>

<file path=xl/tables/table6.xml><?xml version="1.0" encoding="utf-8"?>
<table xmlns="http://schemas.openxmlformats.org/spreadsheetml/2006/main" id="6" name="tbCatalogoConquistas" displayName="tbCatalogoConquistas" ref="A1:E6" headerRowCount="1">
  <autoFilter ref="A1:E6"/>
  <tableColumns count="5">
    <tableColumn id="1" name="conquista_id"/>
    <tableColumn id="2" name="nome_conquista"/>
    <tableColumn id="3" name="descricao"/>
    <tableColumn id="4" name="reseta_anualmente"/>
    <tableColumn id="5" name="xp"/>
  </tableColumns>
  <tableStyleInfo name="TableStyleMedium6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VIDA FUNCIONAL — ESTRUTURA DE DADOS</t>
        </is>
      </c>
    </row>
    <row r="3">
      <c r="A3" s="2" t="inlineStr">
        <is>
          <t>Aba principal</t>
        </is>
      </c>
      <c r="B3" s="2" t="inlineStr">
        <is>
          <t>CURSISTAS</t>
        </is>
      </c>
    </row>
    <row r="4">
      <c r="A4" s="2" t="inlineStr">
        <is>
          <t>Dados do card</t>
        </is>
      </c>
      <c r="B4" s="2" t="inlineStr">
        <is>
          <t>CGM, nome, e-mail Google, turma, formador, modalidade, datas do estágio, afastamentos, vínculo etc.</t>
        </is>
      </c>
    </row>
    <row r="5">
      <c r="A5" s="2" t="inlineStr">
        <is>
          <t>Nível</t>
        </is>
      </c>
      <c r="B5" s="2" t="inlineStr">
        <is>
          <t>Ano do cursista: 1, 2 ou 3. A coluna ano_cursista é calculada a partir do início do estágio.</t>
        </is>
      </c>
    </row>
    <row r="6">
      <c r="A6" s="2" t="inlineStr">
        <is>
          <t>Certificações</t>
        </is>
      </c>
      <c r="B6" s="2" t="inlineStr">
        <is>
          <t>Cada linha da aba CERTIFICACOES representa uma certificação concluída. O app pode somar as certificações e o XP.</t>
        </is>
      </c>
    </row>
    <row r="7">
      <c r="A7" s="2" t="inlineStr">
        <is>
          <t>Conquistas</t>
        </is>
      </c>
      <c r="B7" s="2" t="inlineStr">
        <is>
          <t>Cada linha da aba CONQUISTAS representa uma conquista desbloqueada. O ano_formativo deve ser usado para zerar o conjunto a cada ano.</t>
        </is>
      </c>
    </row>
    <row r="8">
      <c r="A8" s="2" t="inlineStr">
        <is>
          <t>Foto</t>
        </is>
      </c>
      <c r="B8" s="2" t="inlineStr">
        <is>
          <t>Não é necessário armazenar a foto no Sheets. O app pode usar a foto retornada pelo login Google (claim picture / perfil Google).</t>
        </is>
      </c>
    </row>
    <row r="9">
      <c r="A9" s="2" t="inlineStr">
        <is>
          <t>Dias restantes</t>
        </is>
      </c>
      <c r="B9" s="2" t="inlineStr">
        <is>
          <t>Calculado a partir do fim do estágio menos hoje, descontando dias de afastamento. Ajuste a regra se afastamentos forem acrescidos ao término do estágio.</t>
        </is>
      </c>
    </row>
    <row r="10">
      <c r="A10" s="2" t="inlineStr">
        <is>
          <t>Importante</t>
        </is>
      </c>
      <c r="B10" s="2" t="inlineStr">
        <is>
          <t>Se 'inicio_concurso' e 'inicio_estagio' forem datas diferentes no seu processo, mantenha as duas colunas e use inicio_estagio para o cálculo do prazo.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2" customWidth="1" min="6" max="6"/>
    <col width="17" customWidth="1" min="7" max="7"/>
    <col width="16" customWidth="1" min="8" max="8"/>
    <col width="38" customWidth="1" min="9" max="9"/>
    <col width="34" customWidth="1" min="10" max="10"/>
    <col width="18" customWidth="1" min="11" max="11"/>
    <col width="38" customWidth="1" min="12" max="12"/>
    <col width="38" customWidth="1" min="13" max="13"/>
    <col width="12" customWidth="1" min="14" max="14"/>
    <col width="12" customWidth="1" min="15" max="15"/>
    <col width="21" customWidth="1" min="16" max="16"/>
    <col width="23" customWidth="1" min="17" max="17"/>
    <col width="12" customWidth="1" min="18" max="18"/>
    <col width="15" customWidth="1" min="19" max="19"/>
    <col width="13" customWidth="1" min="20" max="20"/>
    <col width="13" customWidth="1" min="21" max="21"/>
  </cols>
  <sheetData>
    <row r="1">
      <c r="A1" s="3" t="inlineStr">
        <is>
          <t>cgm</t>
        </is>
      </c>
      <c r="B1" s="3" t="inlineStr">
        <is>
          <t>nome</t>
        </is>
      </c>
      <c r="C1" s="3" t="inlineStr">
        <is>
          <t>email_google</t>
        </is>
      </c>
      <c r="D1" s="3" t="inlineStr">
        <is>
          <t>turma_id</t>
        </is>
      </c>
      <c r="E1" s="3" t="inlineStr">
        <is>
          <t>formador_id</t>
        </is>
      </c>
      <c r="F1" s="3" t="inlineStr">
        <is>
          <t>modalidade</t>
        </is>
      </c>
      <c r="G1" s="3" t="inlineStr">
        <is>
          <t>inicio_concurso</t>
        </is>
      </c>
      <c r="H1" s="3" t="inlineStr">
        <is>
          <t>inicio_estagio</t>
        </is>
      </c>
      <c r="I1" s="3" t="inlineStr">
        <is>
          <t>ano_cursista</t>
        </is>
      </c>
      <c r="J1" s="3" t="inlineStr">
        <is>
          <t>fim_estagio</t>
        </is>
      </c>
      <c r="K1" s="3" t="inlineStr">
        <is>
          <t>dias_afastamento</t>
        </is>
      </c>
      <c r="L1" s="3" t="inlineStr">
        <is>
          <t>dias_restantes</t>
        </is>
      </c>
      <c r="M1" s="3" t="inlineStr">
        <is>
          <t>status_estagio</t>
        </is>
      </c>
      <c r="N1" s="3" t="inlineStr">
        <is>
          <t>componente</t>
        </is>
      </c>
      <c r="O1" s="3" t="inlineStr">
        <is>
          <t>nre</t>
        </is>
      </c>
      <c r="P1" s="3" t="inlineStr">
        <is>
          <t>instituicao_lotacao</t>
        </is>
      </c>
      <c r="Q1" s="3" t="inlineStr">
        <is>
          <t>instituicao_exercicio</t>
        </is>
      </c>
      <c r="R1" s="3" t="inlineStr">
        <is>
          <t>vinculo</t>
        </is>
      </c>
      <c r="S1" s="3" t="inlineStr">
        <is>
          <t>carga_horaria</t>
        </is>
      </c>
      <c r="T1" s="3" t="inlineStr">
        <is>
          <t>foto_google</t>
        </is>
      </c>
      <c r="U1" s="3" t="inlineStr">
        <is>
          <t>observacoes</t>
        </is>
      </c>
    </row>
    <row r="2">
      <c r="G2" s="4" t="n"/>
      <c r="H2" s="4" t="n"/>
      <c r="I2" s="5">
        <f>IF(H2="","",MIN(3,MAX(1,YEARFRAC(H2,TODAY(),1)+1)))</f>
        <v/>
      </c>
      <c r="J2" s="4">
        <f>IF(H2="","",EDATE(H2,36)-1)</f>
        <v/>
      </c>
      <c r="K2" s="5" t="n"/>
      <c r="L2" s="5">
        <f>IF(J2="","",MAX(0,J2-TODAY()-IF(K2="",0,K2)))</f>
        <v/>
      </c>
      <c r="M2">
        <f>IF(L2="","",IF(L2=0,"CONCLUÍDO",IF(L2&lt;90,"FINALIZAÇÃO","EM ANDAMENTO")))</f>
        <v/>
      </c>
      <c r="S2" s="5" t="n"/>
    </row>
    <row r="3">
      <c r="G3" s="4" t="n"/>
      <c r="H3" s="4" t="n"/>
      <c r="I3" s="5">
        <f>IF(H3="","",MIN(3,MAX(1,YEARFRAC(H3,TODAY(),1)+1)))</f>
        <v/>
      </c>
      <c r="J3" s="4">
        <f>IF(H3="","",EDATE(H3,36)-1)</f>
        <v/>
      </c>
      <c r="K3" s="5" t="n"/>
      <c r="L3" s="5">
        <f>IF(J3="","",MAX(0,J3-TODAY()-IF(K3="",0,K3)))</f>
        <v/>
      </c>
      <c r="M3">
        <f>IF(L3="","",IF(L3=0,"CONCLUÍDO",IF(L3&lt;90,"FINALIZAÇÃO","EM ANDAMENTO")))</f>
        <v/>
      </c>
      <c r="S3" s="5" t="n"/>
    </row>
    <row r="4">
      <c r="G4" s="4" t="n"/>
      <c r="H4" s="4" t="n"/>
      <c r="I4" s="5">
        <f>IF(H4="","",MIN(3,MAX(1,YEARFRAC(H4,TODAY(),1)+1)))</f>
        <v/>
      </c>
      <c r="J4" s="4">
        <f>IF(H4="","",EDATE(H4,36)-1)</f>
        <v/>
      </c>
      <c r="K4" s="5" t="n"/>
      <c r="L4" s="5">
        <f>IF(J4="","",MAX(0,J4-TODAY()-IF(K4="",0,K4)))</f>
        <v/>
      </c>
      <c r="M4">
        <f>IF(L4="","",IF(L4=0,"CONCLUÍDO",IF(L4&lt;90,"FINALIZAÇÃO","EM ANDAMENTO")))</f>
        <v/>
      </c>
      <c r="S4" s="5" t="n"/>
    </row>
    <row r="5">
      <c r="G5" s="4" t="n"/>
      <c r="H5" s="4" t="n"/>
      <c r="I5" s="5">
        <f>IF(H5="","",MIN(3,MAX(1,YEARFRAC(H5,TODAY(),1)+1)))</f>
        <v/>
      </c>
      <c r="J5" s="4">
        <f>IF(H5="","",EDATE(H5,36)-1)</f>
        <v/>
      </c>
      <c r="K5" s="5" t="n"/>
      <c r="L5" s="5">
        <f>IF(J5="","",MAX(0,J5-TODAY()-IF(K5="",0,K5)))</f>
        <v/>
      </c>
      <c r="M5">
        <f>IF(L5="","",IF(L5=0,"CONCLUÍDO",IF(L5&lt;90,"FINALIZAÇÃO","EM ANDAMENTO")))</f>
        <v/>
      </c>
      <c r="S5" s="5" t="n"/>
    </row>
    <row r="6">
      <c r="G6" s="4" t="n"/>
      <c r="H6" s="4" t="n"/>
      <c r="I6" s="5">
        <f>IF(H6="","",MIN(3,MAX(1,YEARFRAC(H6,TODAY(),1)+1)))</f>
        <v/>
      </c>
      <c r="J6" s="4">
        <f>IF(H6="","",EDATE(H6,36)-1)</f>
        <v/>
      </c>
      <c r="K6" s="5" t="n"/>
      <c r="L6" s="5">
        <f>IF(J6="","",MAX(0,J6-TODAY()-IF(K6="",0,K6)))</f>
        <v/>
      </c>
      <c r="M6">
        <f>IF(L6="","",IF(L6=0,"CONCLUÍDO",IF(L6&lt;90,"FINALIZAÇÃO","EM ANDAMENTO")))</f>
        <v/>
      </c>
      <c r="S6" s="5" t="n"/>
    </row>
    <row r="7">
      <c r="G7" s="4" t="n"/>
      <c r="H7" s="4" t="n"/>
      <c r="I7" s="5">
        <f>IF(H7="","",MIN(3,MAX(1,YEARFRAC(H7,TODAY(),1)+1)))</f>
        <v/>
      </c>
      <c r="J7" s="4">
        <f>IF(H7="","",EDATE(H7,36)-1)</f>
        <v/>
      </c>
      <c r="K7" s="5" t="n"/>
      <c r="L7" s="5">
        <f>IF(J7="","",MAX(0,J7-TODAY()-IF(K7="",0,K7)))</f>
        <v/>
      </c>
      <c r="M7">
        <f>IF(L7="","",IF(L7=0,"CONCLUÍDO",IF(L7&lt;90,"FINALIZAÇÃO","EM ANDAMENTO")))</f>
        <v/>
      </c>
      <c r="S7" s="5" t="n"/>
    </row>
    <row r="8">
      <c r="G8" s="4" t="n"/>
      <c r="H8" s="4" t="n"/>
      <c r="I8" s="5">
        <f>IF(H8="","",MIN(3,MAX(1,YEARFRAC(H8,TODAY(),1)+1)))</f>
        <v/>
      </c>
      <c r="J8" s="4">
        <f>IF(H8="","",EDATE(H8,36)-1)</f>
        <v/>
      </c>
      <c r="K8" s="5" t="n"/>
      <c r="L8" s="5">
        <f>IF(J8="","",MAX(0,J8-TODAY()-IF(K8="",0,K8)))</f>
        <v/>
      </c>
      <c r="M8">
        <f>IF(L8="","",IF(L8=0,"CONCLUÍDO",IF(L8&lt;90,"FINALIZAÇÃO","EM ANDAMENTO")))</f>
        <v/>
      </c>
      <c r="S8" s="5" t="n"/>
    </row>
    <row r="9">
      <c r="G9" s="4" t="n"/>
      <c r="H9" s="4" t="n"/>
      <c r="I9" s="5">
        <f>IF(H9="","",MIN(3,MAX(1,YEARFRAC(H9,TODAY(),1)+1)))</f>
        <v/>
      </c>
      <c r="J9" s="4">
        <f>IF(H9="","",EDATE(H9,36)-1)</f>
        <v/>
      </c>
      <c r="K9" s="5" t="n"/>
      <c r="L9" s="5">
        <f>IF(J9="","",MAX(0,J9-TODAY()-IF(K9="",0,K9)))</f>
        <v/>
      </c>
      <c r="M9">
        <f>IF(L9="","",IF(L9=0,"CONCLUÍDO",IF(L9&lt;90,"FINALIZAÇÃO","EM ANDAMENTO")))</f>
        <v/>
      </c>
      <c r="S9" s="5" t="n"/>
    </row>
    <row r="10">
      <c r="G10" s="4" t="n"/>
      <c r="H10" s="4" t="n"/>
      <c r="I10" s="5">
        <f>IF(H10="","",MIN(3,MAX(1,YEARFRAC(H10,TODAY(),1)+1)))</f>
        <v/>
      </c>
      <c r="J10" s="4">
        <f>IF(H10="","",EDATE(H10,36)-1)</f>
        <v/>
      </c>
      <c r="K10" s="5" t="n"/>
      <c r="L10" s="5">
        <f>IF(J10="","",MAX(0,J10-TODAY()-IF(K10="",0,K10)))</f>
        <v/>
      </c>
      <c r="M10">
        <f>IF(L10="","",IF(L10=0,"CONCLUÍDO",IF(L10&lt;90,"FINALIZAÇÃO","EM ANDAMENTO")))</f>
        <v/>
      </c>
      <c r="S10" s="5" t="n"/>
    </row>
    <row r="11">
      <c r="G11" s="4" t="n"/>
      <c r="H11" s="4" t="n"/>
      <c r="I11" s="5">
        <f>IF(H11="","",MIN(3,MAX(1,YEARFRAC(H11,TODAY(),1)+1)))</f>
        <v/>
      </c>
      <c r="J11" s="4">
        <f>IF(H11="","",EDATE(H11,36)-1)</f>
        <v/>
      </c>
      <c r="K11" s="5" t="n"/>
      <c r="L11" s="5">
        <f>IF(J11="","",MAX(0,J11-TODAY()-IF(K11="",0,K11)))</f>
        <v/>
      </c>
      <c r="M11">
        <f>IF(L11="","",IF(L11=0,"CONCLUÍDO",IF(L11&lt;90,"FINALIZAÇÃO","EM ANDAMENTO")))</f>
        <v/>
      </c>
      <c r="S11" s="5" t="n"/>
    </row>
    <row r="12">
      <c r="G12" s="4" t="n"/>
      <c r="H12" s="4" t="n"/>
      <c r="I12" s="5">
        <f>IF(H12="","",MIN(3,MAX(1,YEARFRAC(H12,TODAY(),1)+1)))</f>
        <v/>
      </c>
      <c r="J12" s="4">
        <f>IF(H12="","",EDATE(H12,36)-1)</f>
        <v/>
      </c>
      <c r="K12" s="5" t="n"/>
      <c r="L12" s="5">
        <f>IF(J12="","",MAX(0,J12-TODAY()-IF(K12="",0,K12)))</f>
        <v/>
      </c>
      <c r="M12">
        <f>IF(L12="","",IF(L12=0,"CONCLUÍDO",IF(L12&lt;90,"FINALIZAÇÃO","EM ANDAMENTO")))</f>
        <v/>
      </c>
      <c r="S12" s="5" t="n"/>
    </row>
    <row r="13">
      <c r="G13" s="4" t="n"/>
      <c r="H13" s="4" t="n"/>
      <c r="I13" s="5">
        <f>IF(H13="","",MIN(3,MAX(1,YEARFRAC(H13,TODAY(),1)+1)))</f>
        <v/>
      </c>
      <c r="J13" s="4">
        <f>IF(H13="","",EDATE(H13,36)-1)</f>
        <v/>
      </c>
      <c r="K13" s="5" t="n"/>
      <c r="L13" s="5">
        <f>IF(J13="","",MAX(0,J13-TODAY()-IF(K13="",0,K13)))</f>
        <v/>
      </c>
      <c r="M13">
        <f>IF(L13="","",IF(L13=0,"CONCLUÍDO",IF(L13&lt;90,"FINALIZAÇÃO","EM ANDAMENTO")))</f>
        <v/>
      </c>
      <c r="S13" s="5" t="n"/>
    </row>
    <row r="14">
      <c r="G14" s="4" t="n"/>
      <c r="H14" s="4" t="n"/>
      <c r="I14" s="5">
        <f>IF(H14="","",MIN(3,MAX(1,YEARFRAC(H14,TODAY(),1)+1)))</f>
        <v/>
      </c>
      <c r="J14" s="4">
        <f>IF(H14="","",EDATE(H14,36)-1)</f>
        <v/>
      </c>
      <c r="K14" s="5" t="n"/>
      <c r="L14" s="5">
        <f>IF(J14="","",MAX(0,J14-TODAY()-IF(K14="",0,K14)))</f>
        <v/>
      </c>
      <c r="M14">
        <f>IF(L14="","",IF(L14=0,"CONCLUÍDO",IF(L14&lt;90,"FINALIZAÇÃO","EM ANDAMENTO")))</f>
        <v/>
      </c>
      <c r="S14" s="5" t="n"/>
    </row>
    <row r="15">
      <c r="G15" s="4" t="n"/>
      <c r="H15" s="4" t="n"/>
      <c r="I15" s="5">
        <f>IF(H15="","",MIN(3,MAX(1,YEARFRAC(H15,TODAY(),1)+1)))</f>
        <v/>
      </c>
      <c r="J15" s="4">
        <f>IF(H15="","",EDATE(H15,36)-1)</f>
        <v/>
      </c>
      <c r="K15" s="5" t="n"/>
      <c r="L15" s="5">
        <f>IF(J15="","",MAX(0,J15-TODAY()-IF(K15="",0,K15)))</f>
        <v/>
      </c>
      <c r="M15">
        <f>IF(L15="","",IF(L15=0,"CONCLUÍDO",IF(L15&lt;90,"FINALIZAÇÃO","EM ANDAMENTO")))</f>
        <v/>
      </c>
      <c r="S15" s="5" t="n"/>
    </row>
    <row r="16">
      <c r="G16" s="4" t="n"/>
      <c r="H16" s="4" t="n"/>
      <c r="I16" s="5">
        <f>IF(H16="","",MIN(3,MAX(1,YEARFRAC(H16,TODAY(),1)+1)))</f>
        <v/>
      </c>
      <c r="J16" s="4">
        <f>IF(H16="","",EDATE(H16,36)-1)</f>
        <v/>
      </c>
      <c r="K16" s="5" t="n"/>
      <c r="L16" s="5">
        <f>IF(J16="","",MAX(0,J16-TODAY()-IF(K16="",0,K16)))</f>
        <v/>
      </c>
      <c r="M16">
        <f>IF(L16="","",IF(L16=0,"CONCLUÍDO",IF(L16&lt;90,"FINALIZAÇÃO","EM ANDAMENTO")))</f>
        <v/>
      </c>
      <c r="S16" s="5" t="n"/>
    </row>
    <row r="17">
      <c r="G17" s="4" t="n"/>
      <c r="H17" s="4" t="n"/>
      <c r="I17" s="5">
        <f>IF(H17="","",MIN(3,MAX(1,YEARFRAC(H17,TODAY(),1)+1)))</f>
        <v/>
      </c>
      <c r="J17" s="4">
        <f>IF(H17="","",EDATE(H17,36)-1)</f>
        <v/>
      </c>
      <c r="K17" s="5" t="n"/>
      <c r="L17" s="5">
        <f>IF(J17="","",MAX(0,J17-TODAY()-IF(K17="",0,K17)))</f>
        <v/>
      </c>
      <c r="M17">
        <f>IF(L17="","",IF(L17=0,"CONCLUÍDO",IF(L17&lt;90,"FINALIZAÇÃO","EM ANDAMENTO")))</f>
        <v/>
      </c>
      <c r="S17" s="5" t="n"/>
    </row>
    <row r="18">
      <c r="G18" s="4" t="n"/>
      <c r="H18" s="4" t="n"/>
      <c r="I18" s="5">
        <f>IF(H18="","",MIN(3,MAX(1,YEARFRAC(H18,TODAY(),1)+1)))</f>
        <v/>
      </c>
      <c r="J18" s="4">
        <f>IF(H18="","",EDATE(H18,36)-1)</f>
        <v/>
      </c>
      <c r="K18" s="5" t="n"/>
      <c r="L18" s="5">
        <f>IF(J18="","",MAX(0,J18-TODAY()-IF(K18="",0,K18)))</f>
        <v/>
      </c>
      <c r="M18">
        <f>IF(L18="","",IF(L18=0,"CONCLUÍDO",IF(L18&lt;90,"FINALIZAÇÃO","EM ANDAMENTO")))</f>
        <v/>
      </c>
      <c r="S18" s="5" t="n"/>
    </row>
    <row r="19">
      <c r="G19" s="4" t="n"/>
      <c r="H19" s="4" t="n"/>
      <c r="I19" s="5">
        <f>IF(H19="","",MIN(3,MAX(1,YEARFRAC(H19,TODAY(),1)+1)))</f>
        <v/>
      </c>
      <c r="J19" s="4">
        <f>IF(H19="","",EDATE(H19,36)-1)</f>
        <v/>
      </c>
      <c r="K19" s="5" t="n"/>
      <c r="L19" s="5">
        <f>IF(J19="","",MAX(0,J19-TODAY()-IF(K19="",0,K19)))</f>
        <v/>
      </c>
      <c r="M19">
        <f>IF(L19="","",IF(L19=0,"CONCLUÍDO",IF(L19&lt;90,"FINALIZAÇÃO","EM ANDAMENTO")))</f>
        <v/>
      </c>
      <c r="S19" s="5" t="n"/>
    </row>
    <row r="20">
      <c r="G20" s="4" t="n"/>
      <c r="H20" s="4" t="n"/>
      <c r="I20" s="5">
        <f>IF(H20="","",MIN(3,MAX(1,YEARFRAC(H20,TODAY(),1)+1)))</f>
        <v/>
      </c>
      <c r="J20" s="4">
        <f>IF(H20="","",EDATE(H20,36)-1)</f>
        <v/>
      </c>
      <c r="K20" s="5" t="n"/>
      <c r="L20" s="5">
        <f>IF(J20="","",MAX(0,J20-TODAY()-IF(K20="",0,K20)))</f>
        <v/>
      </c>
      <c r="M20">
        <f>IF(L20="","",IF(L20=0,"CONCLUÍDO",IF(L20&lt;90,"FINALIZAÇÃO","EM ANDAMENTO")))</f>
        <v/>
      </c>
      <c r="S20" s="5" t="n"/>
    </row>
    <row r="21">
      <c r="G21" s="4" t="n"/>
      <c r="H21" s="4" t="n"/>
      <c r="I21" s="5">
        <f>IF(H21="","",MIN(3,MAX(1,YEARFRAC(H21,TODAY(),1)+1)))</f>
        <v/>
      </c>
      <c r="J21" s="4">
        <f>IF(H21="","",EDATE(H21,36)-1)</f>
        <v/>
      </c>
      <c r="K21" s="5" t="n"/>
      <c r="L21" s="5">
        <f>IF(J21="","",MAX(0,J21-TODAY()-IF(K21="",0,K21)))</f>
        <v/>
      </c>
      <c r="M21">
        <f>IF(L21="","",IF(L21=0,"CONCLUÍDO",IF(L21&lt;90,"FINALIZAÇÃO","EM ANDAMENTO")))</f>
        <v/>
      </c>
      <c r="S21" s="5" t="n"/>
    </row>
    <row r="22">
      <c r="G22" s="4" t="n"/>
      <c r="H22" s="4" t="n"/>
      <c r="I22" s="5">
        <f>IF(H22="","",MIN(3,MAX(1,YEARFRAC(H22,TODAY(),1)+1)))</f>
        <v/>
      </c>
      <c r="J22" s="4">
        <f>IF(H22="","",EDATE(H22,36)-1)</f>
        <v/>
      </c>
      <c r="K22" s="5" t="n"/>
      <c r="L22" s="5">
        <f>IF(J22="","",MAX(0,J22-TODAY()-IF(K22="",0,K22)))</f>
        <v/>
      </c>
      <c r="M22">
        <f>IF(L22="","",IF(L22=0,"CONCLUÍDO",IF(L22&lt;90,"FINALIZAÇÃO","EM ANDAMENTO")))</f>
        <v/>
      </c>
      <c r="S22" s="5" t="n"/>
    </row>
    <row r="23">
      <c r="G23" s="4" t="n"/>
      <c r="H23" s="4" t="n"/>
      <c r="I23" s="5">
        <f>IF(H23="","",MIN(3,MAX(1,YEARFRAC(H23,TODAY(),1)+1)))</f>
        <v/>
      </c>
      <c r="J23" s="4">
        <f>IF(H23="","",EDATE(H23,36)-1)</f>
        <v/>
      </c>
      <c r="K23" s="5" t="n"/>
      <c r="L23" s="5">
        <f>IF(J23="","",MAX(0,J23-TODAY()-IF(K23="",0,K23)))</f>
        <v/>
      </c>
      <c r="M23">
        <f>IF(L23="","",IF(L23=0,"CONCLUÍDO",IF(L23&lt;90,"FINALIZAÇÃO","EM ANDAMENTO")))</f>
        <v/>
      </c>
      <c r="S23" s="5" t="n"/>
    </row>
    <row r="24">
      <c r="G24" s="4" t="n"/>
      <c r="H24" s="4" t="n"/>
      <c r="I24" s="5">
        <f>IF(H24="","",MIN(3,MAX(1,YEARFRAC(H24,TODAY(),1)+1)))</f>
        <v/>
      </c>
      <c r="J24" s="4">
        <f>IF(H24="","",EDATE(H24,36)-1)</f>
        <v/>
      </c>
      <c r="K24" s="5" t="n"/>
      <c r="L24" s="5">
        <f>IF(J24="","",MAX(0,J24-TODAY()-IF(K24="",0,K24)))</f>
        <v/>
      </c>
      <c r="M24">
        <f>IF(L24="","",IF(L24=0,"CONCLUÍDO",IF(L24&lt;90,"FINALIZAÇÃO","EM ANDAMENTO")))</f>
        <v/>
      </c>
      <c r="S24" s="5" t="n"/>
    </row>
    <row r="25">
      <c r="G25" s="4" t="n"/>
      <c r="H25" s="4" t="n"/>
      <c r="I25" s="5">
        <f>IF(H25="","",MIN(3,MAX(1,YEARFRAC(H25,TODAY(),1)+1)))</f>
        <v/>
      </c>
      <c r="J25" s="4">
        <f>IF(H25="","",EDATE(H25,36)-1)</f>
        <v/>
      </c>
      <c r="K25" s="5" t="n"/>
      <c r="L25" s="5">
        <f>IF(J25="","",MAX(0,J25-TODAY()-IF(K25="",0,K25)))</f>
        <v/>
      </c>
      <c r="M25">
        <f>IF(L25="","",IF(L25=0,"CONCLUÍDO",IF(L25&lt;90,"FINALIZAÇÃO","EM ANDAMENTO")))</f>
        <v/>
      </c>
      <c r="S25" s="5" t="n"/>
    </row>
    <row r="26">
      <c r="G26" s="4" t="n"/>
      <c r="H26" s="4" t="n"/>
      <c r="I26" s="5">
        <f>IF(H26="","",MIN(3,MAX(1,YEARFRAC(H26,TODAY(),1)+1)))</f>
        <v/>
      </c>
      <c r="J26" s="4">
        <f>IF(H26="","",EDATE(H26,36)-1)</f>
        <v/>
      </c>
      <c r="K26" s="5" t="n"/>
      <c r="L26" s="5">
        <f>IF(J26="","",MAX(0,J26-TODAY()-IF(K26="",0,K26)))</f>
        <v/>
      </c>
      <c r="M26">
        <f>IF(L26="","",IF(L26=0,"CONCLUÍDO",IF(L26&lt;90,"FINALIZAÇÃO","EM ANDAMENTO")))</f>
        <v/>
      </c>
      <c r="S26" s="5" t="n"/>
    </row>
    <row r="27">
      <c r="G27" s="4" t="n"/>
      <c r="H27" s="4" t="n"/>
      <c r="I27" s="5">
        <f>IF(H27="","",MIN(3,MAX(1,YEARFRAC(H27,TODAY(),1)+1)))</f>
        <v/>
      </c>
      <c r="J27" s="4">
        <f>IF(H27="","",EDATE(H27,36)-1)</f>
        <v/>
      </c>
      <c r="K27" s="5" t="n"/>
      <c r="L27" s="5">
        <f>IF(J27="","",MAX(0,J27-TODAY()-IF(K27="",0,K27)))</f>
        <v/>
      </c>
      <c r="M27">
        <f>IF(L27="","",IF(L27=0,"CONCLUÍDO",IF(L27&lt;90,"FINALIZAÇÃO","EM ANDAMENTO")))</f>
        <v/>
      </c>
      <c r="S27" s="5" t="n"/>
    </row>
    <row r="28">
      <c r="G28" s="4" t="n"/>
      <c r="H28" s="4" t="n"/>
      <c r="I28" s="5">
        <f>IF(H28="","",MIN(3,MAX(1,YEARFRAC(H28,TODAY(),1)+1)))</f>
        <v/>
      </c>
      <c r="J28" s="4">
        <f>IF(H28="","",EDATE(H28,36)-1)</f>
        <v/>
      </c>
      <c r="K28" s="5" t="n"/>
      <c r="L28" s="5">
        <f>IF(J28="","",MAX(0,J28-TODAY()-IF(K28="",0,K28)))</f>
        <v/>
      </c>
      <c r="M28">
        <f>IF(L28="","",IF(L28=0,"CONCLUÍDO",IF(L28&lt;90,"FINALIZAÇÃO","EM ANDAMENTO")))</f>
        <v/>
      </c>
      <c r="S28" s="5" t="n"/>
    </row>
    <row r="29">
      <c r="G29" s="4" t="n"/>
      <c r="H29" s="4" t="n"/>
      <c r="I29" s="5">
        <f>IF(H29="","",MIN(3,MAX(1,YEARFRAC(H29,TODAY(),1)+1)))</f>
        <v/>
      </c>
      <c r="J29" s="4">
        <f>IF(H29="","",EDATE(H29,36)-1)</f>
        <v/>
      </c>
      <c r="K29" s="5" t="n"/>
      <c r="L29" s="5">
        <f>IF(J29="","",MAX(0,J29-TODAY()-IF(K29="",0,K29)))</f>
        <v/>
      </c>
      <c r="M29">
        <f>IF(L29="","",IF(L29=0,"CONCLUÍDO",IF(L29&lt;90,"FINALIZAÇÃO","EM ANDAMENTO")))</f>
        <v/>
      </c>
      <c r="S29" s="5" t="n"/>
    </row>
    <row r="30">
      <c r="G30" s="4" t="n"/>
      <c r="H30" s="4" t="n"/>
      <c r="I30" s="5">
        <f>IF(H30="","",MIN(3,MAX(1,YEARFRAC(H30,TODAY(),1)+1)))</f>
        <v/>
      </c>
      <c r="J30" s="4">
        <f>IF(H30="","",EDATE(H30,36)-1)</f>
        <v/>
      </c>
      <c r="K30" s="5" t="n"/>
      <c r="L30" s="5">
        <f>IF(J30="","",MAX(0,J30-TODAY()-IF(K30="",0,K30)))</f>
        <v/>
      </c>
      <c r="M30">
        <f>IF(L30="","",IF(L30=0,"CONCLUÍDO",IF(L30&lt;90,"FINALIZAÇÃO","EM ANDAMENTO")))</f>
        <v/>
      </c>
      <c r="S30" s="5" t="n"/>
    </row>
    <row r="31">
      <c r="G31" s="4" t="n"/>
      <c r="H31" s="4" t="n"/>
      <c r="I31" s="5">
        <f>IF(H31="","",MIN(3,MAX(1,YEARFRAC(H31,TODAY(),1)+1)))</f>
        <v/>
      </c>
      <c r="J31" s="4">
        <f>IF(H31="","",EDATE(H31,36)-1)</f>
        <v/>
      </c>
      <c r="K31" s="5" t="n"/>
      <c r="L31" s="5">
        <f>IF(J31="","",MAX(0,J31-TODAY()-IF(K31="",0,K31)))</f>
        <v/>
      </c>
      <c r="M31">
        <f>IF(L31="","",IF(L31=0,"CONCLUÍDO",IF(L31&lt;90,"FINALIZAÇÃO","EM ANDAMENTO")))</f>
        <v/>
      </c>
      <c r="S31" s="5" t="n"/>
    </row>
    <row r="32">
      <c r="G32" s="4" t="n"/>
      <c r="H32" s="4" t="n"/>
      <c r="I32" s="5">
        <f>IF(H32="","",MIN(3,MAX(1,YEARFRAC(H32,TODAY(),1)+1)))</f>
        <v/>
      </c>
      <c r="J32" s="4">
        <f>IF(H32="","",EDATE(H32,36)-1)</f>
        <v/>
      </c>
      <c r="K32" s="5" t="n"/>
      <c r="L32" s="5">
        <f>IF(J32="","",MAX(0,J32-TODAY()-IF(K32="",0,K32)))</f>
        <v/>
      </c>
      <c r="M32">
        <f>IF(L32="","",IF(L32=0,"CONCLUÍDO",IF(L32&lt;90,"FINALIZAÇÃO","EM ANDAMENTO")))</f>
        <v/>
      </c>
      <c r="S32" s="5" t="n"/>
    </row>
    <row r="33">
      <c r="G33" s="4" t="n"/>
      <c r="H33" s="4" t="n"/>
      <c r="I33" s="5">
        <f>IF(H33="","",MIN(3,MAX(1,YEARFRAC(H33,TODAY(),1)+1)))</f>
        <v/>
      </c>
      <c r="J33" s="4">
        <f>IF(H33="","",EDATE(H33,36)-1)</f>
        <v/>
      </c>
      <c r="K33" s="5" t="n"/>
      <c r="L33" s="5">
        <f>IF(J33="","",MAX(0,J33-TODAY()-IF(K33="",0,K33)))</f>
        <v/>
      </c>
      <c r="M33">
        <f>IF(L33="","",IF(L33=0,"CONCLUÍDO",IF(L33&lt;90,"FINALIZAÇÃO","EM ANDAMENTO")))</f>
        <v/>
      </c>
      <c r="S33" s="5" t="n"/>
    </row>
    <row r="34">
      <c r="G34" s="4" t="n"/>
      <c r="H34" s="4" t="n"/>
      <c r="I34" s="5">
        <f>IF(H34="","",MIN(3,MAX(1,YEARFRAC(H34,TODAY(),1)+1)))</f>
        <v/>
      </c>
      <c r="J34" s="4">
        <f>IF(H34="","",EDATE(H34,36)-1)</f>
        <v/>
      </c>
      <c r="K34" s="5" t="n"/>
      <c r="L34" s="5">
        <f>IF(J34="","",MAX(0,J34-TODAY()-IF(K34="",0,K34)))</f>
        <v/>
      </c>
      <c r="M34">
        <f>IF(L34="","",IF(L34=0,"CONCLUÍDO",IF(L34&lt;90,"FINALIZAÇÃO","EM ANDAMENTO")))</f>
        <v/>
      </c>
      <c r="S34" s="5" t="n"/>
    </row>
    <row r="35">
      <c r="G35" s="4" t="n"/>
      <c r="H35" s="4" t="n"/>
      <c r="I35" s="5">
        <f>IF(H35="","",MIN(3,MAX(1,YEARFRAC(H35,TODAY(),1)+1)))</f>
        <v/>
      </c>
      <c r="J35" s="4">
        <f>IF(H35="","",EDATE(H35,36)-1)</f>
        <v/>
      </c>
      <c r="K35" s="5" t="n"/>
      <c r="L35" s="5">
        <f>IF(J35="","",MAX(0,J35-TODAY()-IF(K35="",0,K35)))</f>
        <v/>
      </c>
      <c r="M35">
        <f>IF(L35="","",IF(L35=0,"CONCLUÍDO",IF(L35&lt;90,"FINALIZAÇÃO","EM ANDAMENTO")))</f>
        <v/>
      </c>
      <c r="S35" s="5" t="n"/>
    </row>
    <row r="36">
      <c r="G36" s="4" t="n"/>
      <c r="H36" s="4" t="n"/>
      <c r="I36" s="5">
        <f>IF(H36="","",MIN(3,MAX(1,YEARFRAC(H36,TODAY(),1)+1)))</f>
        <v/>
      </c>
      <c r="J36" s="4">
        <f>IF(H36="","",EDATE(H36,36)-1)</f>
        <v/>
      </c>
      <c r="K36" s="5" t="n"/>
      <c r="L36" s="5">
        <f>IF(J36="","",MAX(0,J36-TODAY()-IF(K36="",0,K36)))</f>
        <v/>
      </c>
      <c r="M36">
        <f>IF(L36="","",IF(L36=0,"CONCLUÍDO",IF(L36&lt;90,"FINALIZAÇÃO","EM ANDAMENTO")))</f>
        <v/>
      </c>
      <c r="S36" s="5" t="n"/>
    </row>
    <row r="37">
      <c r="G37" s="4" t="n"/>
      <c r="H37" s="4" t="n"/>
      <c r="I37" s="5">
        <f>IF(H37="","",MIN(3,MAX(1,YEARFRAC(H37,TODAY(),1)+1)))</f>
        <v/>
      </c>
      <c r="J37" s="4">
        <f>IF(H37="","",EDATE(H37,36)-1)</f>
        <v/>
      </c>
      <c r="K37" s="5" t="n"/>
      <c r="L37" s="5">
        <f>IF(J37="","",MAX(0,J37-TODAY()-IF(K37="",0,K37)))</f>
        <v/>
      </c>
      <c r="M37">
        <f>IF(L37="","",IF(L37=0,"CONCLUÍDO",IF(L37&lt;90,"FINALIZAÇÃO","EM ANDAMENTO")))</f>
        <v/>
      </c>
      <c r="S37" s="5" t="n"/>
    </row>
    <row r="38">
      <c r="G38" s="4" t="n"/>
      <c r="H38" s="4" t="n"/>
      <c r="I38" s="5">
        <f>IF(H38="","",MIN(3,MAX(1,YEARFRAC(H38,TODAY(),1)+1)))</f>
        <v/>
      </c>
      <c r="J38" s="4">
        <f>IF(H38="","",EDATE(H38,36)-1)</f>
        <v/>
      </c>
      <c r="K38" s="5" t="n"/>
      <c r="L38" s="5">
        <f>IF(J38="","",MAX(0,J38-TODAY()-IF(K38="",0,K38)))</f>
        <v/>
      </c>
      <c r="M38">
        <f>IF(L38="","",IF(L38=0,"CONCLUÍDO",IF(L38&lt;90,"FINALIZAÇÃO","EM ANDAMENTO")))</f>
        <v/>
      </c>
      <c r="S38" s="5" t="n"/>
    </row>
    <row r="39">
      <c r="G39" s="4" t="n"/>
      <c r="H39" s="4" t="n"/>
      <c r="I39" s="5">
        <f>IF(H39="","",MIN(3,MAX(1,YEARFRAC(H39,TODAY(),1)+1)))</f>
        <v/>
      </c>
      <c r="J39" s="4">
        <f>IF(H39="","",EDATE(H39,36)-1)</f>
        <v/>
      </c>
      <c r="K39" s="5" t="n"/>
      <c r="L39" s="5">
        <f>IF(J39="","",MAX(0,J39-TODAY()-IF(K39="",0,K39)))</f>
        <v/>
      </c>
      <c r="M39">
        <f>IF(L39="","",IF(L39=0,"CONCLUÍDO",IF(L39&lt;90,"FINALIZAÇÃO","EM ANDAMENTO")))</f>
        <v/>
      </c>
      <c r="S39" s="5" t="n"/>
    </row>
    <row r="40">
      <c r="G40" s="4" t="n"/>
      <c r="H40" s="4" t="n"/>
      <c r="I40" s="5">
        <f>IF(H40="","",MIN(3,MAX(1,YEARFRAC(H40,TODAY(),1)+1)))</f>
        <v/>
      </c>
      <c r="J40" s="4">
        <f>IF(H40="","",EDATE(H40,36)-1)</f>
        <v/>
      </c>
      <c r="K40" s="5" t="n"/>
      <c r="L40" s="5">
        <f>IF(J40="","",MAX(0,J40-TODAY()-IF(K40="",0,K40)))</f>
        <v/>
      </c>
      <c r="M40">
        <f>IF(L40="","",IF(L40=0,"CONCLUÍDO",IF(L40&lt;90,"FINALIZAÇÃO","EM ANDAMENTO")))</f>
        <v/>
      </c>
      <c r="S40" s="5" t="n"/>
    </row>
    <row r="41">
      <c r="G41" s="4" t="n"/>
      <c r="H41" s="4" t="n"/>
      <c r="I41" s="5">
        <f>IF(H41="","",MIN(3,MAX(1,YEARFRAC(H41,TODAY(),1)+1)))</f>
        <v/>
      </c>
      <c r="J41" s="4">
        <f>IF(H41="","",EDATE(H41,36)-1)</f>
        <v/>
      </c>
      <c r="K41" s="5" t="n"/>
      <c r="L41" s="5">
        <f>IF(J41="","",MAX(0,J41-TODAY()-IF(K41="",0,K41)))</f>
        <v/>
      </c>
      <c r="M41">
        <f>IF(L41="","",IF(L41=0,"CONCLUÍDO",IF(L41&lt;90,"FINALIZAÇÃO","EM ANDAMENTO")))</f>
        <v/>
      </c>
      <c r="S41" s="5" t="n"/>
    </row>
    <row r="42">
      <c r="G42" s="4" t="n"/>
      <c r="H42" s="4" t="n"/>
      <c r="I42" s="5">
        <f>IF(H42="","",MIN(3,MAX(1,YEARFRAC(H42,TODAY(),1)+1)))</f>
        <v/>
      </c>
      <c r="J42" s="4">
        <f>IF(H42="","",EDATE(H42,36)-1)</f>
        <v/>
      </c>
      <c r="K42" s="5" t="n"/>
      <c r="L42" s="5">
        <f>IF(J42="","",MAX(0,J42-TODAY()-IF(K42="",0,K42)))</f>
        <v/>
      </c>
      <c r="M42">
        <f>IF(L42="","",IF(L42=0,"CONCLUÍDO",IF(L42&lt;90,"FINALIZAÇÃO","EM ANDAMENTO")))</f>
        <v/>
      </c>
      <c r="S42" s="5" t="n"/>
    </row>
    <row r="43">
      <c r="G43" s="4" t="n"/>
      <c r="H43" s="4" t="n"/>
      <c r="I43" s="5">
        <f>IF(H43="","",MIN(3,MAX(1,YEARFRAC(H43,TODAY(),1)+1)))</f>
        <v/>
      </c>
      <c r="J43" s="4">
        <f>IF(H43="","",EDATE(H43,36)-1)</f>
        <v/>
      </c>
      <c r="K43" s="5" t="n"/>
      <c r="L43" s="5">
        <f>IF(J43="","",MAX(0,J43-TODAY()-IF(K43="",0,K43)))</f>
        <v/>
      </c>
      <c r="M43">
        <f>IF(L43="","",IF(L43=0,"CONCLUÍDO",IF(L43&lt;90,"FINALIZAÇÃO","EM ANDAMENTO")))</f>
        <v/>
      </c>
      <c r="S43" s="5" t="n"/>
    </row>
    <row r="44">
      <c r="G44" s="4" t="n"/>
      <c r="H44" s="4" t="n"/>
      <c r="I44" s="5">
        <f>IF(H44="","",MIN(3,MAX(1,YEARFRAC(H44,TODAY(),1)+1)))</f>
        <v/>
      </c>
      <c r="J44" s="4">
        <f>IF(H44="","",EDATE(H44,36)-1)</f>
        <v/>
      </c>
      <c r="K44" s="5" t="n"/>
      <c r="L44" s="5">
        <f>IF(J44="","",MAX(0,J44-TODAY()-IF(K44="",0,K44)))</f>
        <v/>
      </c>
      <c r="M44">
        <f>IF(L44="","",IF(L44=0,"CONCLUÍDO",IF(L44&lt;90,"FINALIZAÇÃO","EM ANDAMENTO")))</f>
        <v/>
      </c>
      <c r="S44" s="5" t="n"/>
    </row>
    <row r="45">
      <c r="G45" s="4" t="n"/>
      <c r="H45" s="4" t="n"/>
      <c r="I45" s="5">
        <f>IF(H45="","",MIN(3,MAX(1,YEARFRAC(H45,TODAY(),1)+1)))</f>
        <v/>
      </c>
      <c r="J45" s="4">
        <f>IF(H45="","",EDATE(H45,36)-1)</f>
        <v/>
      </c>
      <c r="K45" s="5" t="n"/>
      <c r="L45" s="5">
        <f>IF(J45="","",MAX(0,J45-TODAY()-IF(K45="",0,K45)))</f>
        <v/>
      </c>
      <c r="M45">
        <f>IF(L45="","",IF(L45=0,"CONCLUÍDO",IF(L45&lt;90,"FINALIZAÇÃO","EM ANDAMENTO")))</f>
        <v/>
      </c>
      <c r="S45" s="5" t="n"/>
    </row>
    <row r="46">
      <c r="G46" s="4" t="n"/>
      <c r="H46" s="4" t="n"/>
      <c r="I46" s="5">
        <f>IF(H46="","",MIN(3,MAX(1,YEARFRAC(H46,TODAY(),1)+1)))</f>
        <v/>
      </c>
      <c r="J46" s="4">
        <f>IF(H46="","",EDATE(H46,36)-1)</f>
        <v/>
      </c>
      <c r="K46" s="5" t="n"/>
      <c r="L46" s="5">
        <f>IF(J46="","",MAX(0,J46-TODAY()-IF(K46="",0,K46)))</f>
        <v/>
      </c>
      <c r="M46">
        <f>IF(L46="","",IF(L46=0,"CONCLUÍDO",IF(L46&lt;90,"FINALIZAÇÃO","EM ANDAMENTO")))</f>
        <v/>
      </c>
      <c r="S46" s="5" t="n"/>
    </row>
    <row r="47">
      <c r="G47" s="4" t="n"/>
      <c r="H47" s="4" t="n"/>
      <c r="I47" s="5">
        <f>IF(H47="","",MIN(3,MAX(1,YEARFRAC(H47,TODAY(),1)+1)))</f>
        <v/>
      </c>
      <c r="J47" s="4">
        <f>IF(H47="","",EDATE(H47,36)-1)</f>
        <v/>
      </c>
      <c r="K47" s="5" t="n"/>
      <c r="L47" s="5">
        <f>IF(J47="","",MAX(0,J47-TODAY()-IF(K47="",0,K47)))</f>
        <v/>
      </c>
      <c r="M47">
        <f>IF(L47="","",IF(L47=0,"CONCLUÍDO",IF(L47&lt;90,"FINALIZAÇÃO","EM ANDAMENTO")))</f>
        <v/>
      </c>
      <c r="S47" s="5" t="n"/>
    </row>
    <row r="48">
      <c r="G48" s="4" t="n"/>
      <c r="H48" s="4" t="n"/>
      <c r="I48" s="5">
        <f>IF(H48="","",MIN(3,MAX(1,YEARFRAC(H48,TODAY(),1)+1)))</f>
        <v/>
      </c>
      <c r="J48" s="4">
        <f>IF(H48="","",EDATE(H48,36)-1)</f>
        <v/>
      </c>
      <c r="K48" s="5" t="n"/>
      <c r="L48" s="5">
        <f>IF(J48="","",MAX(0,J48-TODAY()-IF(K48="",0,K48)))</f>
        <v/>
      </c>
      <c r="M48">
        <f>IF(L48="","",IF(L48=0,"CONCLUÍDO",IF(L48&lt;90,"FINALIZAÇÃO","EM ANDAMENTO")))</f>
        <v/>
      </c>
      <c r="S48" s="5" t="n"/>
    </row>
    <row r="49">
      <c r="G49" s="4" t="n"/>
      <c r="H49" s="4" t="n"/>
      <c r="I49" s="5">
        <f>IF(H49="","",MIN(3,MAX(1,YEARFRAC(H49,TODAY(),1)+1)))</f>
        <v/>
      </c>
      <c r="J49" s="4">
        <f>IF(H49="","",EDATE(H49,36)-1)</f>
        <v/>
      </c>
      <c r="K49" s="5" t="n"/>
      <c r="L49" s="5">
        <f>IF(J49="","",MAX(0,J49-TODAY()-IF(K49="",0,K49)))</f>
        <v/>
      </c>
      <c r="M49">
        <f>IF(L49="","",IF(L49=0,"CONCLUÍDO",IF(L49&lt;90,"FINALIZAÇÃO","EM ANDAMENTO")))</f>
        <v/>
      </c>
      <c r="S49" s="5" t="n"/>
    </row>
    <row r="50">
      <c r="G50" s="4" t="n"/>
      <c r="H50" s="4" t="n"/>
      <c r="I50" s="5">
        <f>IF(H50="","",MIN(3,MAX(1,YEARFRAC(H50,TODAY(),1)+1)))</f>
        <v/>
      </c>
      <c r="J50" s="4">
        <f>IF(H50="","",EDATE(H50,36)-1)</f>
        <v/>
      </c>
      <c r="K50" s="5" t="n"/>
      <c r="L50" s="5">
        <f>IF(J50="","",MAX(0,J50-TODAY()-IF(K50="",0,K50)))</f>
        <v/>
      </c>
      <c r="M50">
        <f>IF(L50="","",IF(L50=0,"CONCLUÍDO",IF(L50&lt;90,"FINALIZAÇÃO","EM ANDAMENTO")))</f>
        <v/>
      </c>
      <c r="S50" s="5" t="n"/>
    </row>
    <row r="51">
      <c r="G51" s="4" t="n"/>
      <c r="H51" s="4" t="n"/>
      <c r="I51" s="5">
        <f>IF(H51="","",MIN(3,MAX(1,YEARFRAC(H51,TODAY(),1)+1)))</f>
        <v/>
      </c>
      <c r="J51" s="4">
        <f>IF(H51="","",EDATE(H51,36)-1)</f>
        <v/>
      </c>
      <c r="K51" s="5" t="n"/>
      <c r="L51" s="5">
        <f>IF(J51="","",MAX(0,J51-TODAY()-IF(K51="",0,K51)))</f>
        <v/>
      </c>
      <c r="M51">
        <f>IF(L51="","",IF(L51=0,"CONCLUÍDO",IF(L51&lt;90,"FINALIZAÇÃO","EM ANDAMENTO")))</f>
        <v/>
      </c>
      <c r="S51" s="5" t="n"/>
    </row>
    <row r="52">
      <c r="G52" s="4" t="n"/>
      <c r="H52" s="4" t="n"/>
      <c r="I52" s="5">
        <f>IF(H52="","",MIN(3,MAX(1,YEARFRAC(H52,TODAY(),1)+1)))</f>
        <v/>
      </c>
      <c r="J52" s="4">
        <f>IF(H52="","",EDATE(H52,36)-1)</f>
        <v/>
      </c>
      <c r="K52" s="5" t="n"/>
      <c r="L52" s="5">
        <f>IF(J52="","",MAX(0,J52-TODAY()-IF(K52="",0,K52)))</f>
        <v/>
      </c>
      <c r="M52">
        <f>IF(L52="","",IF(L52=0,"CONCLUÍDO",IF(L52&lt;90,"FINALIZAÇÃO","EM ANDAMENTO")))</f>
        <v/>
      </c>
      <c r="S52" s="5" t="n"/>
    </row>
    <row r="53">
      <c r="G53" s="4" t="n"/>
      <c r="H53" s="4" t="n"/>
      <c r="I53" s="5">
        <f>IF(H53="","",MIN(3,MAX(1,YEARFRAC(H53,TODAY(),1)+1)))</f>
        <v/>
      </c>
      <c r="J53" s="4">
        <f>IF(H53="","",EDATE(H53,36)-1)</f>
        <v/>
      </c>
      <c r="K53" s="5" t="n"/>
      <c r="L53" s="5">
        <f>IF(J53="","",MAX(0,J53-TODAY()-IF(K53="",0,K53)))</f>
        <v/>
      </c>
      <c r="M53">
        <f>IF(L53="","",IF(L53=0,"CONCLUÍDO",IF(L53&lt;90,"FINALIZAÇÃO","EM ANDAMENTO")))</f>
        <v/>
      </c>
      <c r="S53" s="5" t="n"/>
    </row>
    <row r="54">
      <c r="G54" s="4" t="n"/>
      <c r="H54" s="4" t="n"/>
      <c r="I54" s="5">
        <f>IF(H54="","",MIN(3,MAX(1,YEARFRAC(H54,TODAY(),1)+1)))</f>
        <v/>
      </c>
      <c r="J54" s="4">
        <f>IF(H54="","",EDATE(H54,36)-1)</f>
        <v/>
      </c>
      <c r="K54" s="5" t="n"/>
      <c r="L54" s="5">
        <f>IF(J54="","",MAX(0,J54-TODAY()-IF(K54="",0,K54)))</f>
        <v/>
      </c>
      <c r="M54">
        <f>IF(L54="","",IF(L54=0,"CONCLUÍDO",IF(L54&lt;90,"FINALIZAÇÃO","EM ANDAMENTO")))</f>
        <v/>
      </c>
      <c r="S54" s="5" t="n"/>
    </row>
    <row r="55">
      <c r="G55" s="4" t="n"/>
      <c r="H55" s="4" t="n"/>
      <c r="I55" s="5">
        <f>IF(H55="","",MIN(3,MAX(1,YEARFRAC(H55,TODAY(),1)+1)))</f>
        <v/>
      </c>
      <c r="J55" s="4">
        <f>IF(H55="","",EDATE(H55,36)-1)</f>
        <v/>
      </c>
      <c r="K55" s="5" t="n"/>
      <c r="L55" s="5">
        <f>IF(J55="","",MAX(0,J55-TODAY()-IF(K55="",0,K55)))</f>
        <v/>
      </c>
      <c r="M55">
        <f>IF(L55="","",IF(L55=0,"CONCLUÍDO",IF(L55&lt;90,"FINALIZAÇÃO","EM ANDAMENTO")))</f>
        <v/>
      </c>
      <c r="S55" s="5" t="n"/>
    </row>
    <row r="56">
      <c r="G56" s="4" t="n"/>
      <c r="H56" s="4" t="n"/>
      <c r="I56" s="5">
        <f>IF(H56="","",MIN(3,MAX(1,YEARFRAC(H56,TODAY(),1)+1)))</f>
        <v/>
      </c>
      <c r="J56" s="4">
        <f>IF(H56="","",EDATE(H56,36)-1)</f>
        <v/>
      </c>
      <c r="K56" s="5" t="n"/>
      <c r="L56" s="5">
        <f>IF(J56="","",MAX(0,J56-TODAY()-IF(K56="",0,K56)))</f>
        <v/>
      </c>
      <c r="M56">
        <f>IF(L56="","",IF(L56=0,"CONCLUÍDO",IF(L56&lt;90,"FINALIZAÇÃO","EM ANDAMENTO")))</f>
        <v/>
      </c>
      <c r="S56" s="5" t="n"/>
    </row>
    <row r="57">
      <c r="G57" s="4" t="n"/>
      <c r="H57" s="4" t="n"/>
      <c r="I57" s="5">
        <f>IF(H57="","",MIN(3,MAX(1,YEARFRAC(H57,TODAY(),1)+1)))</f>
        <v/>
      </c>
      <c r="J57" s="4">
        <f>IF(H57="","",EDATE(H57,36)-1)</f>
        <v/>
      </c>
      <c r="K57" s="5" t="n"/>
      <c r="L57" s="5">
        <f>IF(J57="","",MAX(0,J57-TODAY()-IF(K57="",0,K57)))</f>
        <v/>
      </c>
      <c r="M57">
        <f>IF(L57="","",IF(L57=0,"CONCLUÍDO",IF(L57&lt;90,"FINALIZAÇÃO","EM ANDAMENTO")))</f>
        <v/>
      </c>
      <c r="S57" s="5" t="n"/>
    </row>
    <row r="58">
      <c r="G58" s="4" t="n"/>
      <c r="H58" s="4" t="n"/>
      <c r="I58" s="5">
        <f>IF(H58="","",MIN(3,MAX(1,YEARFRAC(H58,TODAY(),1)+1)))</f>
        <v/>
      </c>
      <c r="J58" s="4">
        <f>IF(H58="","",EDATE(H58,36)-1)</f>
        <v/>
      </c>
      <c r="K58" s="5" t="n"/>
      <c r="L58" s="5">
        <f>IF(J58="","",MAX(0,J58-TODAY()-IF(K58="",0,K58)))</f>
        <v/>
      </c>
      <c r="M58">
        <f>IF(L58="","",IF(L58=0,"CONCLUÍDO",IF(L58&lt;90,"FINALIZAÇÃO","EM ANDAMENTO")))</f>
        <v/>
      </c>
      <c r="S58" s="5" t="n"/>
    </row>
    <row r="59">
      <c r="G59" s="4" t="n"/>
      <c r="H59" s="4" t="n"/>
      <c r="I59" s="5">
        <f>IF(H59="","",MIN(3,MAX(1,YEARFRAC(H59,TODAY(),1)+1)))</f>
        <v/>
      </c>
      <c r="J59" s="4">
        <f>IF(H59="","",EDATE(H59,36)-1)</f>
        <v/>
      </c>
      <c r="K59" s="5" t="n"/>
      <c r="L59" s="5">
        <f>IF(J59="","",MAX(0,J59-TODAY()-IF(K59="",0,K59)))</f>
        <v/>
      </c>
      <c r="M59">
        <f>IF(L59="","",IF(L59=0,"CONCLUÍDO",IF(L59&lt;90,"FINALIZAÇÃO","EM ANDAMENTO")))</f>
        <v/>
      </c>
      <c r="S59" s="5" t="n"/>
    </row>
    <row r="60">
      <c r="G60" s="4" t="n"/>
      <c r="H60" s="4" t="n"/>
      <c r="I60" s="5">
        <f>IF(H60="","",MIN(3,MAX(1,YEARFRAC(H60,TODAY(),1)+1)))</f>
        <v/>
      </c>
      <c r="J60" s="4">
        <f>IF(H60="","",EDATE(H60,36)-1)</f>
        <v/>
      </c>
      <c r="K60" s="5" t="n"/>
      <c r="L60" s="5">
        <f>IF(J60="","",MAX(0,J60-TODAY()-IF(K60="",0,K60)))</f>
        <v/>
      </c>
      <c r="M60">
        <f>IF(L60="","",IF(L60=0,"CONCLUÍDO",IF(L60&lt;90,"FINALIZAÇÃO","EM ANDAMENTO")))</f>
        <v/>
      </c>
      <c r="S60" s="5" t="n"/>
    </row>
    <row r="61">
      <c r="G61" s="4" t="n"/>
      <c r="H61" s="4" t="n"/>
      <c r="I61" s="5">
        <f>IF(H61="","",MIN(3,MAX(1,YEARFRAC(H61,TODAY(),1)+1)))</f>
        <v/>
      </c>
      <c r="J61" s="4">
        <f>IF(H61="","",EDATE(H61,36)-1)</f>
        <v/>
      </c>
      <c r="K61" s="5" t="n"/>
      <c r="L61" s="5">
        <f>IF(J61="","",MAX(0,J61-TODAY()-IF(K61="",0,K61)))</f>
        <v/>
      </c>
      <c r="M61">
        <f>IF(L61="","",IF(L61=0,"CONCLUÍDO",IF(L61&lt;90,"FINALIZAÇÃO","EM ANDAMENTO")))</f>
        <v/>
      </c>
      <c r="S61" s="5" t="n"/>
    </row>
    <row r="62">
      <c r="G62" s="4" t="n"/>
      <c r="H62" s="4" t="n"/>
      <c r="I62" s="5">
        <f>IF(H62="","",MIN(3,MAX(1,YEARFRAC(H62,TODAY(),1)+1)))</f>
        <v/>
      </c>
      <c r="J62" s="4">
        <f>IF(H62="","",EDATE(H62,36)-1)</f>
        <v/>
      </c>
      <c r="K62" s="5" t="n"/>
      <c r="L62" s="5">
        <f>IF(J62="","",MAX(0,J62-TODAY()-IF(K62="",0,K62)))</f>
        <v/>
      </c>
      <c r="M62">
        <f>IF(L62="","",IF(L62=0,"CONCLUÍDO",IF(L62&lt;90,"FINALIZAÇÃO","EM ANDAMENTO")))</f>
        <v/>
      </c>
      <c r="S62" s="5" t="n"/>
    </row>
    <row r="63">
      <c r="G63" s="4" t="n"/>
      <c r="H63" s="4" t="n"/>
      <c r="I63" s="5">
        <f>IF(H63="","",MIN(3,MAX(1,YEARFRAC(H63,TODAY(),1)+1)))</f>
        <v/>
      </c>
      <c r="J63" s="4">
        <f>IF(H63="","",EDATE(H63,36)-1)</f>
        <v/>
      </c>
      <c r="K63" s="5" t="n"/>
      <c r="L63" s="5">
        <f>IF(J63="","",MAX(0,J63-TODAY()-IF(K63="",0,K63)))</f>
        <v/>
      </c>
      <c r="M63">
        <f>IF(L63="","",IF(L63=0,"CONCLUÍDO",IF(L63&lt;90,"FINALIZAÇÃO","EM ANDAMENTO")))</f>
        <v/>
      </c>
      <c r="S63" s="5" t="n"/>
    </row>
    <row r="64">
      <c r="G64" s="4" t="n"/>
      <c r="H64" s="4" t="n"/>
      <c r="I64" s="5">
        <f>IF(H64="","",MIN(3,MAX(1,YEARFRAC(H64,TODAY(),1)+1)))</f>
        <v/>
      </c>
      <c r="J64" s="4">
        <f>IF(H64="","",EDATE(H64,36)-1)</f>
        <v/>
      </c>
      <c r="K64" s="5" t="n"/>
      <c r="L64" s="5">
        <f>IF(J64="","",MAX(0,J64-TODAY()-IF(K64="",0,K64)))</f>
        <v/>
      </c>
      <c r="M64">
        <f>IF(L64="","",IF(L64=0,"CONCLUÍDO",IF(L64&lt;90,"FINALIZAÇÃO","EM ANDAMENTO")))</f>
        <v/>
      </c>
      <c r="S64" s="5" t="n"/>
    </row>
    <row r="65">
      <c r="G65" s="4" t="n"/>
      <c r="H65" s="4" t="n"/>
      <c r="I65" s="5">
        <f>IF(H65="","",MIN(3,MAX(1,YEARFRAC(H65,TODAY(),1)+1)))</f>
        <v/>
      </c>
      <c r="J65" s="4">
        <f>IF(H65="","",EDATE(H65,36)-1)</f>
        <v/>
      </c>
      <c r="K65" s="5" t="n"/>
      <c r="L65" s="5">
        <f>IF(J65="","",MAX(0,J65-TODAY()-IF(K65="",0,K65)))</f>
        <v/>
      </c>
      <c r="M65">
        <f>IF(L65="","",IF(L65=0,"CONCLUÍDO",IF(L65&lt;90,"FINALIZAÇÃO","EM ANDAMENTO")))</f>
        <v/>
      </c>
      <c r="S65" s="5" t="n"/>
    </row>
    <row r="66">
      <c r="G66" s="4" t="n"/>
      <c r="H66" s="4" t="n"/>
      <c r="I66" s="5">
        <f>IF(H66="","",MIN(3,MAX(1,YEARFRAC(H66,TODAY(),1)+1)))</f>
        <v/>
      </c>
      <c r="J66" s="4">
        <f>IF(H66="","",EDATE(H66,36)-1)</f>
        <v/>
      </c>
      <c r="K66" s="5" t="n"/>
      <c r="L66" s="5">
        <f>IF(J66="","",MAX(0,J66-TODAY()-IF(K66="",0,K66)))</f>
        <v/>
      </c>
      <c r="M66">
        <f>IF(L66="","",IF(L66=0,"CONCLUÍDO",IF(L66&lt;90,"FINALIZAÇÃO","EM ANDAMENTO")))</f>
        <v/>
      </c>
      <c r="S66" s="5" t="n"/>
    </row>
    <row r="67">
      <c r="G67" s="4" t="n"/>
      <c r="H67" s="4" t="n"/>
      <c r="I67" s="5">
        <f>IF(H67="","",MIN(3,MAX(1,YEARFRAC(H67,TODAY(),1)+1)))</f>
        <v/>
      </c>
      <c r="J67" s="4">
        <f>IF(H67="","",EDATE(H67,36)-1)</f>
        <v/>
      </c>
      <c r="K67" s="5" t="n"/>
      <c r="L67" s="5">
        <f>IF(J67="","",MAX(0,J67-TODAY()-IF(K67="",0,K67)))</f>
        <v/>
      </c>
      <c r="M67">
        <f>IF(L67="","",IF(L67=0,"CONCLUÍDO",IF(L67&lt;90,"FINALIZAÇÃO","EM ANDAMENTO")))</f>
        <v/>
      </c>
      <c r="S67" s="5" t="n"/>
    </row>
    <row r="68">
      <c r="G68" s="4" t="n"/>
      <c r="H68" s="4" t="n"/>
      <c r="I68" s="5">
        <f>IF(H68="","",MIN(3,MAX(1,YEARFRAC(H68,TODAY(),1)+1)))</f>
        <v/>
      </c>
      <c r="J68" s="4">
        <f>IF(H68="","",EDATE(H68,36)-1)</f>
        <v/>
      </c>
      <c r="K68" s="5" t="n"/>
      <c r="L68" s="5">
        <f>IF(J68="","",MAX(0,J68-TODAY()-IF(K68="",0,K68)))</f>
        <v/>
      </c>
      <c r="M68">
        <f>IF(L68="","",IF(L68=0,"CONCLUÍDO",IF(L68&lt;90,"FINALIZAÇÃO","EM ANDAMENTO")))</f>
        <v/>
      </c>
      <c r="S68" s="5" t="n"/>
    </row>
    <row r="69">
      <c r="G69" s="4" t="n"/>
      <c r="H69" s="4" t="n"/>
      <c r="I69" s="5">
        <f>IF(H69="","",MIN(3,MAX(1,YEARFRAC(H69,TODAY(),1)+1)))</f>
        <v/>
      </c>
      <c r="J69" s="4">
        <f>IF(H69="","",EDATE(H69,36)-1)</f>
        <v/>
      </c>
      <c r="K69" s="5" t="n"/>
      <c r="L69" s="5">
        <f>IF(J69="","",MAX(0,J69-TODAY()-IF(K69="",0,K69)))</f>
        <v/>
      </c>
      <c r="M69">
        <f>IF(L69="","",IF(L69=0,"CONCLUÍDO",IF(L69&lt;90,"FINALIZAÇÃO","EM ANDAMENTO")))</f>
        <v/>
      </c>
      <c r="S69" s="5" t="n"/>
    </row>
    <row r="70">
      <c r="G70" s="4" t="n"/>
      <c r="H70" s="4" t="n"/>
      <c r="I70" s="5">
        <f>IF(H70="","",MIN(3,MAX(1,YEARFRAC(H70,TODAY(),1)+1)))</f>
        <v/>
      </c>
      <c r="J70" s="4">
        <f>IF(H70="","",EDATE(H70,36)-1)</f>
        <v/>
      </c>
      <c r="K70" s="5" t="n"/>
      <c r="L70" s="5">
        <f>IF(J70="","",MAX(0,J70-TODAY()-IF(K70="",0,K70)))</f>
        <v/>
      </c>
      <c r="M70">
        <f>IF(L70="","",IF(L70=0,"CONCLUÍDO",IF(L70&lt;90,"FINALIZAÇÃO","EM ANDAMENTO")))</f>
        <v/>
      </c>
      <c r="S70" s="5" t="n"/>
    </row>
    <row r="71">
      <c r="G71" s="4" t="n"/>
      <c r="H71" s="4" t="n"/>
      <c r="I71" s="5">
        <f>IF(H71="","",MIN(3,MAX(1,YEARFRAC(H71,TODAY(),1)+1)))</f>
        <v/>
      </c>
      <c r="J71" s="4">
        <f>IF(H71="","",EDATE(H71,36)-1)</f>
        <v/>
      </c>
      <c r="K71" s="5" t="n"/>
      <c r="L71" s="5">
        <f>IF(J71="","",MAX(0,J71-TODAY()-IF(K71="",0,K71)))</f>
        <v/>
      </c>
      <c r="M71">
        <f>IF(L71="","",IF(L71=0,"CONCLUÍDO",IF(L71&lt;90,"FINALIZAÇÃO","EM ANDAMENTO")))</f>
        <v/>
      </c>
      <c r="S71" s="5" t="n"/>
    </row>
    <row r="72">
      <c r="G72" s="4" t="n"/>
      <c r="H72" s="4" t="n"/>
      <c r="I72" s="5">
        <f>IF(H72="","",MIN(3,MAX(1,YEARFRAC(H72,TODAY(),1)+1)))</f>
        <v/>
      </c>
      <c r="J72" s="4">
        <f>IF(H72="","",EDATE(H72,36)-1)</f>
        <v/>
      </c>
      <c r="K72" s="5" t="n"/>
      <c r="L72" s="5">
        <f>IF(J72="","",MAX(0,J72-TODAY()-IF(K72="",0,K72)))</f>
        <v/>
      </c>
      <c r="M72">
        <f>IF(L72="","",IF(L72=0,"CONCLUÍDO",IF(L72&lt;90,"FINALIZAÇÃO","EM ANDAMENTO")))</f>
        <v/>
      </c>
      <c r="S72" s="5" t="n"/>
    </row>
    <row r="73">
      <c r="G73" s="4" t="n"/>
      <c r="H73" s="4" t="n"/>
      <c r="I73" s="5">
        <f>IF(H73="","",MIN(3,MAX(1,YEARFRAC(H73,TODAY(),1)+1)))</f>
        <v/>
      </c>
      <c r="J73" s="4">
        <f>IF(H73="","",EDATE(H73,36)-1)</f>
        <v/>
      </c>
      <c r="K73" s="5" t="n"/>
      <c r="L73" s="5">
        <f>IF(J73="","",MAX(0,J73-TODAY()-IF(K73="",0,K73)))</f>
        <v/>
      </c>
      <c r="M73">
        <f>IF(L73="","",IF(L73=0,"CONCLUÍDO",IF(L73&lt;90,"FINALIZAÇÃO","EM ANDAMENTO")))</f>
        <v/>
      </c>
      <c r="S73" s="5" t="n"/>
    </row>
    <row r="74">
      <c r="G74" s="4" t="n"/>
      <c r="H74" s="4" t="n"/>
      <c r="I74" s="5">
        <f>IF(H74="","",MIN(3,MAX(1,YEARFRAC(H74,TODAY(),1)+1)))</f>
        <v/>
      </c>
      <c r="J74" s="4">
        <f>IF(H74="","",EDATE(H74,36)-1)</f>
        <v/>
      </c>
      <c r="K74" s="5" t="n"/>
      <c r="L74" s="5">
        <f>IF(J74="","",MAX(0,J74-TODAY()-IF(K74="",0,K74)))</f>
        <v/>
      </c>
      <c r="M74">
        <f>IF(L74="","",IF(L74=0,"CONCLUÍDO",IF(L74&lt;90,"FINALIZAÇÃO","EM ANDAMENTO")))</f>
        <v/>
      </c>
      <c r="S74" s="5" t="n"/>
    </row>
    <row r="75">
      <c r="G75" s="4" t="n"/>
      <c r="H75" s="4" t="n"/>
      <c r="I75" s="5">
        <f>IF(H75="","",MIN(3,MAX(1,YEARFRAC(H75,TODAY(),1)+1)))</f>
        <v/>
      </c>
      <c r="J75" s="4">
        <f>IF(H75="","",EDATE(H75,36)-1)</f>
        <v/>
      </c>
      <c r="K75" s="5" t="n"/>
      <c r="L75" s="5">
        <f>IF(J75="","",MAX(0,J75-TODAY()-IF(K75="",0,K75)))</f>
        <v/>
      </c>
      <c r="M75">
        <f>IF(L75="","",IF(L75=0,"CONCLUÍDO",IF(L75&lt;90,"FINALIZAÇÃO","EM ANDAMENTO")))</f>
        <v/>
      </c>
      <c r="S75" s="5" t="n"/>
    </row>
    <row r="76">
      <c r="G76" s="4" t="n"/>
      <c r="H76" s="4" t="n"/>
      <c r="I76" s="5">
        <f>IF(H76="","",MIN(3,MAX(1,YEARFRAC(H76,TODAY(),1)+1)))</f>
        <v/>
      </c>
      <c r="J76" s="4">
        <f>IF(H76="","",EDATE(H76,36)-1)</f>
        <v/>
      </c>
      <c r="K76" s="5" t="n"/>
      <c r="L76" s="5">
        <f>IF(J76="","",MAX(0,J76-TODAY()-IF(K76="",0,K76)))</f>
        <v/>
      </c>
      <c r="M76">
        <f>IF(L76="","",IF(L76=0,"CONCLUÍDO",IF(L76&lt;90,"FINALIZAÇÃO","EM ANDAMENTO")))</f>
        <v/>
      </c>
      <c r="S76" s="5" t="n"/>
    </row>
    <row r="77">
      <c r="G77" s="4" t="n"/>
      <c r="H77" s="4" t="n"/>
      <c r="I77" s="5">
        <f>IF(H77="","",MIN(3,MAX(1,YEARFRAC(H77,TODAY(),1)+1)))</f>
        <v/>
      </c>
      <c r="J77" s="4">
        <f>IF(H77="","",EDATE(H77,36)-1)</f>
        <v/>
      </c>
      <c r="K77" s="5" t="n"/>
      <c r="L77" s="5">
        <f>IF(J77="","",MAX(0,J77-TODAY()-IF(K77="",0,K77)))</f>
        <v/>
      </c>
      <c r="M77">
        <f>IF(L77="","",IF(L77=0,"CONCLUÍDO",IF(L77&lt;90,"FINALIZAÇÃO","EM ANDAMENTO")))</f>
        <v/>
      </c>
      <c r="S77" s="5" t="n"/>
    </row>
    <row r="78">
      <c r="G78" s="4" t="n"/>
      <c r="H78" s="4" t="n"/>
      <c r="I78" s="5">
        <f>IF(H78="","",MIN(3,MAX(1,YEARFRAC(H78,TODAY(),1)+1)))</f>
        <v/>
      </c>
      <c r="J78" s="4">
        <f>IF(H78="","",EDATE(H78,36)-1)</f>
        <v/>
      </c>
      <c r="K78" s="5" t="n"/>
      <c r="L78" s="5">
        <f>IF(J78="","",MAX(0,J78-TODAY()-IF(K78="",0,K78)))</f>
        <v/>
      </c>
      <c r="M78">
        <f>IF(L78="","",IF(L78=0,"CONCLUÍDO",IF(L78&lt;90,"FINALIZAÇÃO","EM ANDAMENTO")))</f>
        <v/>
      </c>
      <c r="S78" s="5" t="n"/>
    </row>
    <row r="79">
      <c r="G79" s="4" t="n"/>
      <c r="H79" s="4" t="n"/>
      <c r="I79" s="5">
        <f>IF(H79="","",MIN(3,MAX(1,YEARFRAC(H79,TODAY(),1)+1)))</f>
        <v/>
      </c>
      <c r="J79" s="4">
        <f>IF(H79="","",EDATE(H79,36)-1)</f>
        <v/>
      </c>
      <c r="K79" s="5" t="n"/>
      <c r="L79" s="5">
        <f>IF(J79="","",MAX(0,J79-TODAY()-IF(K79="",0,K79)))</f>
        <v/>
      </c>
      <c r="M79">
        <f>IF(L79="","",IF(L79=0,"CONCLUÍDO",IF(L79&lt;90,"FINALIZAÇÃO","EM ANDAMENTO")))</f>
        <v/>
      </c>
      <c r="S79" s="5" t="n"/>
    </row>
    <row r="80">
      <c r="G80" s="4" t="n"/>
      <c r="H80" s="4" t="n"/>
      <c r="I80" s="5">
        <f>IF(H80="","",MIN(3,MAX(1,YEARFRAC(H80,TODAY(),1)+1)))</f>
        <v/>
      </c>
      <c r="J80" s="4">
        <f>IF(H80="","",EDATE(H80,36)-1)</f>
        <v/>
      </c>
      <c r="K80" s="5" t="n"/>
      <c r="L80" s="5">
        <f>IF(J80="","",MAX(0,J80-TODAY()-IF(K80="",0,K80)))</f>
        <v/>
      </c>
      <c r="M80">
        <f>IF(L80="","",IF(L80=0,"CONCLUÍDO",IF(L80&lt;90,"FINALIZAÇÃO","EM ANDAMENTO")))</f>
        <v/>
      </c>
      <c r="S80" s="5" t="n"/>
    </row>
    <row r="81">
      <c r="G81" s="4" t="n"/>
      <c r="H81" s="4" t="n"/>
      <c r="I81" s="5">
        <f>IF(H81="","",MIN(3,MAX(1,YEARFRAC(H81,TODAY(),1)+1)))</f>
        <v/>
      </c>
      <c r="J81" s="4">
        <f>IF(H81="","",EDATE(H81,36)-1)</f>
        <v/>
      </c>
      <c r="K81" s="5" t="n"/>
      <c r="L81" s="5">
        <f>IF(J81="","",MAX(0,J81-TODAY()-IF(K81="",0,K81)))</f>
        <v/>
      </c>
      <c r="M81">
        <f>IF(L81="","",IF(L81=0,"CONCLUÍDO",IF(L81&lt;90,"FINALIZAÇÃO","EM ANDAMENTO")))</f>
        <v/>
      </c>
      <c r="S81" s="5" t="n"/>
    </row>
    <row r="82">
      <c r="G82" s="4" t="n"/>
      <c r="H82" s="4" t="n"/>
      <c r="I82" s="5">
        <f>IF(H82="","",MIN(3,MAX(1,YEARFRAC(H82,TODAY(),1)+1)))</f>
        <v/>
      </c>
      <c r="J82" s="4">
        <f>IF(H82="","",EDATE(H82,36)-1)</f>
        <v/>
      </c>
      <c r="K82" s="5" t="n"/>
      <c r="L82" s="5">
        <f>IF(J82="","",MAX(0,J82-TODAY()-IF(K82="",0,K82)))</f>
        <v/>
      </c>
      <c r="M82">
        <f>IF(L82="","",IF(L82=0,"CONCLUÍDO",IF(L82&lt;90,"FINALIZAÇÃO","EM ANDAMENTO")))</f>
        <v/>
      </c>
      <c r="S82" s="5" t="n"/>
    </row>
    <row r="83">
      <c r="G83" s="4" t="n"/>
      <c r="H83" s="4" t="n"/>
      <c r="I83" s="5">
        <f>IF(H83="","",MIN(3,MAX(1,YEARFRAC(H83,TODAY(),1)+1)))</f>
        <v/>
      </c>
      <c r="J83" s="4">
        <f>IF(H83="","",EDATE(H83,36)-1)</f>
        <v/>
      </c>
      <c r="K83" s="5" t="n"/>
      <c r="L83" s="5">
        <f>IF(J83="","",MAX(0,J83-TODAY()-IF(K83="",0,K83)))</f>
        <v/>
      </c>
      <c r="M83">
        <f>IF(L83="","",IF(L83=0,"CONCLUÍDO",IF(L83&lt;90,"FINALIZAÇÃO","EM ANDAMENTO")))</f>
        <v/>
      </c>
      <c r="S83" s="5" t="n"/>
    </row>
    <row r="84">
      <c r="G84" s="4" t="n"/>
      <c r="H84" s="4" t="n"/>
      <c r="I84" s="5">
        <f>IF(H84="","",MIN(3,MAX(1,YEARFRAC(H84,TODAY(),1)+1)))</f>
        <v/>
      </c>
      <c r="J84" s="4">
        <f>IF(H84="","",EDATE(H84,36)-1)</f>
        <v/>
      </c>
      <c r="K84" s="5" t="n"/>
      <c r="L84" s="5">
        <f>IF(J84="","",MAX(0,J84-TODAY()-IF(K84="",0,K84)))</f>
        <v/>
      </c>
      <c r="M84">
        <f>IF(L84="","",IF(L84=0,"CONCLUÍDO",IF(L84&lt;90,"FINALIZAÇÃO","EM ANDAMENTO")))</f>
        <v/>
      </c>
      <c r="S84" s="5" t="n"/>
    </row>
    <row r="85">
      <c r="G85" s="4" t="n"/>
      <c r="H85" s="4" t="n"/>
      <c r="I85" s="5">
        <f>IF(H85="","",MIN(3,MAX(1,YEARFRAC(H85,TODAY(),1)+1)))</f>
        <v/>
      </c>
      <c r="J85" s="4">
        <f>IF(H85="","",EDATE(H85,36)-1)</f>
        <v/>
      </c>
      <c r="K85" s="5" t="n"/>
      <c r="L85" s="5">
        <f>IF(J85="","",MAX(0,J85-TODAY()-IF(K85="",0,K85)))</f>
        <v/>
      </c>
      <c r="M85">
        <f>IF(L85="","",IF(L85=0,"CONCLUÍDO",IF(L85&lt;90,"FINALIZAÇÃO","EM ANDAMENTO")))</f>
        <v/>
      </c>
      <c r="S85" s="5" t="n"/>
    </row>
    <row r="86">
      <c r="G86" s="4" t="n"/>
      <c r="H86" s="4" t="n"/>
      <c r="I86" s="5">
        <f>IF(H86="","",MIN(3,MAX(1,YEARFRAC(H86,TODAY(),1)+1)))</f>
        <v/>
      </c>
      <c r="J86" s="4">
        <f>IF(H86="","",EDATE(H86,36)-1)</f>
        <v/>
      </c>
      <c r="K86" s="5" t="n"/>
      <c r="L86" s="5">
        <f>IF(J86="","",MAX(0,J86-TODAY()-IF(K86="",0,K86)))</f>
        <v/>
      </c>
      <c r="M86">
        <f>IF(L86="","",IF(L86=0,"CONCLUÍDO",IF(L86&lt;90,"FINALIZAÇÃO","EM ANDAMENTO")))</f>
        <v/>
      </c>
      <c r="S86" s="5" t="n"/>
    </row>
    <row r="87">
      <c r="G87" s="4" t="n"/>
      <c r="H87" s="4" t="n"/>
      <c r="I87" s="5">
        <f>IF(H87="","",MIN(3,MAX(1,YEARFRAC(H87,TODAY(),1)+1)))</f>
        <v/>
      </c>
      <c r="J87" s="4">
        <f>IF(H87="","",EDATE(H87,36)-1)</f>
        <v/>
      </c>
      <c r="K87" s="5" t="n"/>
      <c r="L87" s="5">
        <f>IF(J87="","",MAX(0,J87-TODAY()-IF(K87="",0,K87)))</f>
        <v/>
      </c>
      <c r="M87">
        <f>IF(L87="","",IF(L87=0,"CONCLUÍDO",IF(L87&lt;90,"FINALIZAÇÃO","EM ANDAMENTO")))</f>
        <v/>
      </c>
      <c r="S87" s="5" t="n"/>
    </row>
    <row r="88">
      <c r="G88" s="4" t="n"/>
      <c r="H88" s="4" t="n"/>
      <c r="I88" s="5">
        <f>IF(H88="","",MIN(3,MAX(1,YEARFRAC(H88,TODAY(),1)+1)))</f>
        <v/>
      </c>
      <c r="J88" s="4">
        <f>IF(H88="","",EDATE(H88,36)-1)</f>
        <v/>
      </c>
      <c r="K88" s="5" t="n"/>
      <c r="L88" s="5">
        <f>IF(J88="","",MAX(0,J88-TODAY()-IF(K88="",0,K88)))</f>
        <v/>
      </c>
      <c r="M88">
        <f>IF(L88="","",IF(L88=0,"CONCLUÍDO",IF(L88&lt;90,"FINALIZAÇÃO","EM ANDAMENTO")))</f>
        <v/>
      </c>
      <c r="S88" s="5" t="n"/>
    </row>
    <row r="89">
      <c r="G89" s="4" t="n"/>
      <c r="H89" s="4" t="n"/>
      <c r="I89" s="5">
        <f>IF(H89="","",MIN(3,MAX(1,YEARFRAC(H89,TODAY(),1)+1)))</f>
        <v/>
      </c>
      <c r="J89" s="4">
        <f>IF(H89="","",EDATE(H89,36)-1)</f>
        <v/>
      </c>
      <c r="K89" s="5" t="n"/>
      <c r="L89" s="5">
        <f>IF(J89="","",MAX(0,J89-TODAY()-IF(K89="",0,K89)))</f>
        <v/>
      </c>
      <c r="M89">
        <f>IF(L89="","",IF(L89=0,"CONCLUÍDO",IF(L89&lt;90,"FINALIZAÇÃO","EM ANDAMENTO")))</f>
        <v/>
      </c>
      <c r="S89" s="5" t="n"/>
    </row>
    <row r="90">
      <c r="G90" s="4" t="n"/>
      <c r="H90" s="4" t="n"/>
      <c r="I90" s="5">
        <f>IF(H90="","",MIN(3,MAX(1,YEARFRAC(H90,TODAY(),1)+1)))</f>
        <v/>
      </c>
      <c r="J90" s="4">
        <f>IF(H90="","",EDATE(H90,36)-1)</f>
        <v/>
      </c>
      <c r="K90" s="5" t="n"/>
      <c r="L90" s="5">
        <f>IF(J90="","",MAX(0,J90-TODAY()-IF(K90="",0,K90)))</f>
        <v/>
      </c>
      <c r="M90">
        <f>IF(L90="","",IF(L90=0,"CONCLUÍDO",IF(L90&lt;90,"FINALIZAÇÃO","EM ANDAMENTO")))</f>
        <v/>
      </c>
      <c r="S90" s="5" t="n"/>
    </row>
    <row r="91">
      <c r="G91" s="4" t="n"/>
      <c r="H91" s="4" t="n"/>
      <c r="I91" s="5">
        <f>IF(H91="","",MIN(3,MAX(1,YEARFRAC(H91,TODAY(),1)+1)))</f>
        <v/>
      </c>
      <c r="J91" s="4">
        <f>IF(H91="","",EDATE(H91,36)-1)</f>
        <v/>
      </c>
      <c r="K91" s="5" t="n"/>
      <c r="L91" s="5">
        <f>IF(J91="","",MAX(0,J91-TODAY()-IF(K91="",0,K91)))</f>
        <v/>
      </c>
      <c r="M91">
        <f>IF(L91="","",IF(L91=0,"CONCLUÍDO",IF(L91&lt;90,"FINALIZAÇÃO","EM ANDAMENTO")))</f>
        <v/>
      </c>
      <c r="S91" s="5" t="n"/>
    </row>
    <row r="92">
      <c r="G92" s="4" t="n"/>
      <c r="H92" s="4" t="n"/>
      <c r="I92" s="5">
        <f>IF(H92="","",MIN(3,MAX(1,YEARFRAC(H92,TODAY(),1)+1)))</f>
        <v/>
      </c>
      <c r="J92" s="4">
        <f>IF(H92="","",EDATE(H92,36)-1)</f>
        <v/>
      </c>
      <c r="K92" s="5" t="n"/>
      <c r="L92" s="5">
        <f>IF(J92="","",MAX(0,J92-TODAY()-IF(K92="",0,K92)))</f>
        <v/>
      </c>
      <c r="M92">
        <f>IF(L92="","",IF(L92=0,"CONCLUÍDO",IF(L92&lt;90,"FINALIZAÇÃO","EM ANDAMENTO")))</f>
        <v/>
      </c>
      <c r="S92" s="5" t="n"/>
    </row>
    <row r="93">
      <c r="G93" s="4" t="n"/>
      <c r="H93" s="4" t="n"/>
      <c r="I93" s="5">
        <f>IF(H93="","",MIN(3,MAX(1,YEARFRAC(H93,TODAY(),1)+1)))</f>
        <v/>
      </c>
      <c r="J93" s="4">
        <f>IF(H93="","",EDATE(H93,36)-1)</f>
        <v/>
      </c>
      <c r="K93" s="5" t="n"/>
      <c r="L93" s="5">
        <f>IF(J93="","",MAX(0,J93-TODAY()-IF(K93="",0,K93)))</f>
        <v/>
      </c>
      <c r="M93">
        <f>IF(L93="","",IF(L93=0,"CONCLUÍDO",IF(L93&lt;90,"FINALIZAÇÃO","EM ANDAMENTO")))</f>
        <v/>
      </c>
      <c r="S93" s="5" t="n"/>
    </row>
    <row r="94">
      <c r="G94" s="4" t="n"/>
      <c r="H94" s="4" t="n"/>
      <c r="I94" s="5">
        <f>IF(H94="","",MIN(3,MAX(1,YEARFRAC(H94,TODAY(),1)+1)))</f>
        <v/>
      </c>
      <c r="J94" s="4">
        <f>IF(H94="","",EDATE(H94,36)-1)</f>
        <v/>
      </c>
      <c r="K94" s="5" t="n"/>
      <c r="L94" s="5">
        <f>IF(J94="","",MAX(0,J94-TODAY()-IF(K94="",0,K94)))</f>
        <v/>
      </c>
      <c r="M94">
        <f>IF(L94="","",IF(L94=0,"CONCLUÍDO",IF(L94&lt;90,"FINALIZAÇÃO","EM ANDAMENTO")))</f>
        <v/>
      </c>
      <c r="S94" s="5" t="n"/>
    </row>
    <row r="95">
      <c r="G95" s="4" t="n"/>
      <c r="H95" s="4" t="n"/>
      <c r="I95" s="5">
        <f>IF(H95="","",MIN(3,MAX(1,YEARFRAC(H95,TODAY(),1)+1)))</f>
        <v/>
      </c>
      <c r="J95" s="4">
        <f>IF(H95="","",EDATE(H95,36)-1)</f>
        <v/>
      </c>
      <c r="K95" s="5" t="n"/>
      <c r="L95" s="5">
        <f>IF(J95="","",MAX(0,J95-TODAY()-IF(K95="",0,K95)))</f>
        <v/>
      </c>
      <c r="M95">
        <f>IF(L95="","",IF(L95=0,"CONCLUÍDO",IF(L95&lt;90,"FINALIZAÇÃO","EM ANDAMENTO")))</f>
        <v/>
      </c>
      <c r="S95" s="5" t="n"/>
    </row>
    <row r="96">
      <c r="G96" s="4" t="n"/>
      <c r="H96" s="4" t="n"/>
      <c r="I96" s="5">
        <f>IF(H96="","",MIN(3,MAX(1,YEARFRAC(H96,TODAY(),1)+1)))</f>
        <v/>
      </c>
      <c r="J96" s="4">
        <f>IF(H96="","",EDATE(H96,36)-1)</f>
        <v/>
      </c>
      <c r="K96" s="5" t="n"/>
      <c r="L96" s="5">
        <f>IF(J96="","",MAX(0,J96-TODAY()-IF(K96="",0,K96)))</f>
        <v/>
      </c>
      <c r="M96">
        <f>IF(L96="","",IF(L96=0,"CONCLUÍDO",IF(L96&lt;90,"FINALIZAÇÃO","EM ANDAMENTO")))</f>
        <v/>
      </c>
      <c r="S96" s="5" t="n"/>
    </row>
    <row r="97">
      <c r="G97" s="4" t="n"/>
      <c r="H97" s="4" t="n"/>
      <c r="I97" s="5">
        <f>IF(H97="","",MIN(3,MAX(1,YEARFRAC(H97,TODAY(),1)+1)))</f>
        <v/>
      </c>
      <c r="J97" s="4">
        <f>IF(H97="","",EDATE(H97,36)-1)</f>
        <v/>
      </c>
      <c r="K97" s="5" t="n"/>
      <c r="L97" s="5">
        <f>IF(J97="","",MAX(0,J97-TODAY()-IF(K97="",0,K97)))</f>
        <v/>
      </c>
      <c r="M97">
        <f>IF(L97="","",IF(L97=0,"CONCLUÍDO",IF(L97&lt;90,"FINALIZAÇÃO","EM ANDAMENTO")))</f>
        <v/>
      </c>
      <c r="S97" s="5" t="n"/>
    </row>
    <row r="98">
      <c r="G98" s="4" t="n"/>
      <c r="H98" s="4" t="n"/>
      <c r="I98" s="5">
        <f>IF(H98="","",MIN(3,MAX(1,YEARFRAC(H98,TODAY(),1)+1)))</f>
        <v/>
      </c>
      <c r="J98" s="4">
        <f>IF(H98="","",EDATE(H98,36)-1)</f>
        <v/>
      </c>
      <c r="K98" s="5" t="n"/>
      <c r="L98" s="5">
        <f>IF(J98="","",MAX(0,J98-TODAY()-IF(K98="",0,K98)))</f>
        <v/>
      </c>
      <c r="M98">
        <f>IF(L98="","",IF(L98=0,"CONCLUÍDO",IF(L98&lt;90,"FINALIZAÇÃO","EM ANDAMENTO")))</f>
        <v/>
      </c>
      <c r="S98" s="5" t="n"/>
    </row>
    <row r="99">
      <c r="G99" s="4" t="n"/>
      <c r="H99" s="4" t="n"/>
      <c r="I99" s="5">
        <f>IF(H99="","",MIN(3,MAX(1,YEARFRAC(H99,TODAY(),1)+1)))</f>
        <v/>
      </c>
      <c r="J99" s="4">
        <f>IF(H99="","",EDATE(H99,36)-1)</f>
        <v/>
      </c>
      <c r="K99" s="5" t="n"/>
      <c r="L99" s="5">
        <f>IF(J99="","",MAX(0,J99-TODAY()-IF(K99="",0,K99)))</f>
        <v/>
      </c>
      <c r="M99">
        <f>IF(L99="","",IF(L99=0,"CONCLUÍDO",IF(L99&lt;90,"FINALIZAÇÃO","EM ANDAMENTO")))</f>
        <v/>
      </c>
      <c r="S99" s="5" t="n"/>
    </row>
    <row r="100">
      <c r="G100" s="4" t="n"/>
      <c r="H100" s="4" t="n"/>
      <c r="I100" s="5">
        <f>IF(H100="","",MIN(3,MAX(1,YEARFRAC(H100,TODAY(),1)+1)))</f>
        <v/>
      </c>
      <c r="J100" s="4">
        <f>IF(H100="","",EDATE(H100,36)-1)</f>
        <v/>
      </c>
      <c r="K100" s="5" t="n"/>
      <c r="L100" s="5">
        <f>IF(J100="","",MAX(0,J100-TODAY()-IF(K100="",0,K100)))</f>
        <v/>
      </c>
      <c r="M100">
        <f>IF(L100="","",IF(L100=0,"CONCLUÍDO",IF(L100&lt;90,"FINALIZAÇÃO","EM ANDAMENTO")))</f>
        <v/>
      </c>
      <c r="S100" s="5" t="n"/>
    </row>
    <row r="101">
      <c r="G101" s="4" t="n"/>
      <c r="H101" s="4" t="n"/>
      <c r="I101" s="5">
        <f>IF(H101="","",MIN(3,MAX(1,YEARFRAC(H101,TODAY(),1)+1)))</f>
        <v/>
      </c>
      <c r="J101" s="4">
        <f>IF(H101="","",EDATE(H101,36)-1)</f>
        <v/>
      </c>
      <c r="K101" s="5" t="n"/>
      <c r="L101" s="5">
        <f>IF(J101="","",MAX(0,J101-TODAY()-IF(K101="",0,K101)))</f>
        <v/>
      </c>
      <c r="M101">
        <f>IF(L101="","",IF(L101=0,"CONCLUÍDO",IF(L101&lt;90,"FINALIZAÇÃO","EM ANDAMENTO")))</f>
        <v/>
      </c>
      <c r="S101" s="5" t="n"/>
    </row>
  </sheetData>
  <autoFilter ref="A1:U101"/>
  <conditionalFormatting sqref="L2:L101">
    <cfRule type="cellIs" priority="1" operator="lessThanOrEqual" dxfId="0">
      <formula>90</formula>
    </cfRule>
    <cfRule type="cellIs" priority="2" operator="greaterThan" dxfId="1">
      <formula>90</formula>
    </cfRule>
  </conditionalFormatting>
  <dataValidations count="3">
    <dataValidation sqref="F2:F101" showDropDown="0" showInputMessage="0" showErrorMessage="0" allowBlank="1" type="list">
      <formula1>=LISTAS!$B$2:$B$10</formula1>
    </dataValidation>
    <dataValidation sqref="M2:M101" showDropDown="0" showInputMessage="0" showErrorMessage="0" allowBlank="1" type="list">
      <formula1>=LISTAS!$C$2:$C$5</formula1>
    </dataValidation>
    <dataValidation sqref="R2:R101" showDropDown="0" showInputMessage="0" showErrorMessage="0" allowBlank="1" type="list">
      <formula1>=LISTAS!$D$2:$D$5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</cols>
  <sheetData>
    <row r="1">
      <c r="A1" s="3" t="inlineStr">
        <is>
          <t>turma_id</t>
        </is>
      </c>
      <c r="B1" s="3" t="inlineStr">
        <is>
          <t>nome_turma</t>
        </is>
      </c>
      <c r="C1" s="3" t="inlineStr">
        <is>
          <t>modalidade</t>
        </is>
      </c>
      <c r="D1" s="3" t="inlineStr">
        <is>
          <t>componente</t>
        </is>
      </c>
      <c r="E1" s="3" t="inlineStr">
        <is>
          <t>turno</t>
        </is>
      </c>
      <c r="F1" s="3" t="inlineStr">
        <is>
          <t>nre</t>
        </is>
      </c>
      <c r="G1" s="3" t="inlineStr">
        <is>
          <t>formador_id</t>
        </is>
      </c>
      <c r="H1" s="3" t="inlineStr">
        <is>
          <t>data_inicio</t>
        </is>
      </c>
      <c r="I1" s="3" t="inlineStr">
        <is>
          <t>data_fim</t>
        </is>
      </c>
      <c r="J1" s="3" t="inlineStr">
        <is>
          <t>status</t>
        </is>
      </c>
    </row>
    <row r="2">
      <c r="H2" s="4" t="n"/>
      <c r="I2" s="4" t="n"/>
    </row>
    <row r="3">
      <c r="H3" s="4" t="n"/>
      <c r="I3" s="4" t="n"/>
    </row>
    <row r="4">
      <c r="H4" s="4" t="n"/>
      <c r="I4" s="4" t="n"/>
    </row>
    <row r="5">
      <c r="H5" s="4" t="n"/>
      <c r="I5" s="4" t="n"/>
    </row>
    <row r="6">
      <c r="H6" s="4" t="n"/>
      <c r="I6" s="4" t="n"/>
    </row>
    <row r="7">
      <c r="H7" s="4" t="n"/>
      <c r="I7" s="4" t="n"/>
    </row>
    <row r="8">
      <c r="H8" s="4" t="n"/>
      <c r="I8" s="4" t="n"/>
    </row>
    <row r="9">
      <c r="H9" s="4" t="n"/>
      <c r="I9" s="4" t="n"/>
    </row>
    <row r="10">
      <c r="H10" s="4" t="n"/>
      <c r="I10" s="4" t="n"/>
    </row>
    <row r="11">
      <c r="H11" s="4" t="n"/>
      <c r="I11" s="4" t="n"/>
    </row>
    <row r="12">
      <c r="H12" s="4" t="n"/>
      <c r="I12" s="4" t="n"/>
    </row>
    <row r="13">
      <c r="H13" s="4" t="n"/>
      <c r="I13" s="4" t="n"/>
    </row>
    <row r="14">
      <c r="H14" s="4" t="n"/>
      <c r="I14" s="4" t="n"/>
    </row>
    <row r="15">
      <c r="H15" s="4" t="n"/>
      <c r="I15" s="4" t="n"/>
    </row>
    <row r="16">
      <c r="H16" s="4" t="n"/>
      <c r="I16" s="4" t="n"/>
    </row>
    <row r="17">
      <c r="H17" s="4" t="n"/>
      <c r="I17" s="4" t="n"/>
    </row>
    <row r="18">
      <c r="H18" s="4" t="n"/>
      <c r="I18" s="4" t="n"/>
    </row>
    <row r="19">
      <c r="H19" s="4" t="n"/>
      <c r="I19" s="4" t="n"/>
    </row>
    <row r="20">
      <c r="H20" s="4" t="n"/>
      <c r="I20" s="4" t="n"/>
    </row>
    <row r="21">
      <c r="H21" s="4" t="n"/>
      <c r="I21" s="4" t="n"/>
    </row>
    <row r="22">
      <c r="H22" s="4" t="n"/>
      <c r="I22" s="4" t="n"/>
    </row>
    <row r="23">
      <c r="H23" s="4" t="n"/>
      <c r="I23" s="4" t="n"/>
    </row>
    <row r="24">
      <c r="H24" s="4" t="n"/>
      <c r="I24" s="4" t="n"/>
    </row>
    <row r="25">
      <c r="H25" s="4" t="n"/>
      <c r="I25" s="4" t="n"/>
    </row>
    <row r="26">
      <c r="H26" s="4" t="n"/>
      <c r="I26" s="4" t="n"/>
    </row>
    <row r="27">
      <c r="H27" s="4" t="n"/>
      <c r="I27" s="4" t="n"/>
    </row>
    <row r="28">
      <c r="H28" s="4" t="n"/>
      <c r="I28" s="4" t="n"/>
    </row>
    <row r="29">
      <c r="H29" s="4" t="n"/>
      <c r="I29" s="4" t="n"/>
    </row>
    <row r="30">
      <c r="H30" s="4" t="n"/>
      <c r="I30" s="4" t="n"/>
    </row>
    <row r="31">
      <c r="H31" s="4" t="n"/>
      <c r="I31" s="4" t="n"/>
    </row>
    <row r="32">
      <c r="H32" s="4" t="n"/>
      <c r="I32" s="4" t="n"/>
    </row>
    <row r="33">
      <c r="H33" s="4" t="n"/>
      <c r="I33" s="4" t="n"/>
    </row>
    <row r="34">
      <c r="H34" s="4" t="n"/>
      <c r="I34" s="4" t="n"/>
    </row>
    <row r="35">
      <c r="H35" s="4" t="n"/>
      <c r="I35" s="4" t="n"/>
    </row>
    <row r="36">
      <c r="H36" s="4" t="n"/>
      <c r="I36" s="4" t="n"/>
    </row>
    <row r="37">
      <c r="H37" s="4" t="n"/>
      <c r="I37" s="4" t="n"/>
    </row>
    <row r="38">
      <c r="H38" s="4" t="n"/>
      <c r="I38" s="4" t="n"/>
    </row>
    <row r="39">
      <c r="H39" s="4" t="n"/>
      <c r="I39" s="4" t="n"/>
    </row>
    <row r="40">
      <c r="H40" s="4" t="n"/>
      <c r="I40" s="4" t="n"/>
    </row>
    <row r="41">
      <c r="H41" s="4" t="n"/>
      <c r="I41" s="4" t="n"/>
    </row>
    <row r="42">
      <c r="H42" s="4" t="n"/>
      <c r="I42" s="4" t="n"/>
    </row>
    <row r="43">
      <c r="H43" s="4" t="n"/>
      <c r="I43" s="4" t="n"/>
    </row>
    <row r="44">
      <c r="H44" s="4" t="n"/>
      <c r="I44" s="4" t="n"/>
    </row>
    <row r="45">
      <c r="H45" s="4" t="n"/>
      <c r="I45" s="4" t="n"/>
    </row>
    <row r="46">
      <c r="H46" s="4" t="n"/>
      <c r="I46" s="4" t="n"/>
    </row>
    <row r="47">
      <c r="H47" s="4" t="n"/>
      <c r="I47" s="4" t="n"/>
    </row>
    <row r="48">
      <c r="H48" s="4" t="n"/>
      <c r="I48" s="4" t="n"/>
    </row>
    <row r="49">
      <c r="H49" s="4" t="n"/>
      <c r="I49" s="4" t="n"/>
    </row>
    <row r="50">
      <c r="H50" s="4" t="n"/>
      <c r="I50" s="4" t="n"/>
    </row>
    <row r="51">
      <c r="H51" s="4" t="n"/>
      <c r="I51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formador_id</t>
        </is>
      </c>
      <c r="B1" s="3" t="inlineStr">
        <is>
          <t>nome_formador</t>
        </is>
      </c>
      <c r="C1" s="3" t="inlineStr">
        <is>
          <t>email</t>
        </is>
      </c>
      <c r="D1" s="3" t="inlineStr">
        <is>
          <t>nre</t>
        </is>
      </c>
      <c r="E1" s="3" t="inlineStr">
        <is>
          <t>componente</t>
        </is>
      </c>
      <c r="F1" s="3" t="inlineStr">
        <is>
          <t>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9" customWidth="1" min="4" max="4"/>
    <col width="19" customWidth="1" min="5" max="5"/>
    <col width="16" customWidth="1" min="6" max="6"/>
    <col width="14" customWidth="1" min="7" max="7"/>
    <col width="15" customWidth="1" min="8" max="8"/>
    <col width="12" customWidth="1" min="9" max="9"/>
  </cols>
  <sheetData>
    <row r="1">
      <c r="A1" s="3" t="inlineStr">
        <is>
          <t>certificacao_id</t>
        </is>
      </c>
      <c r="B1" s="3" t="inlineStr">
        <is>
          <t>cgm</t>
        </is>
      </c>
      <c r="C1" s="3" t="inlineStr">
        <is>
          <t>ano_formativo</t>
        </is>
      </c>
      <c r="D1" s="3" t="inlineStr">
        <is>
          <t>tipo_certificacao</t>
        </is>
      </c>
      <c r="E1" s="3" t="inlineStr">
        <is>
          <t>nome_certificacao</t>
        </is>
      </c>
      <c r="F1" s="3" t="inlineStr">
        <is>
          <t>data_conclusao</t>
        </is>
      </c>
      <c r="G1" s="3" t="inlineStr">
        <is>
          <t>pontuacao_xp</t>
        </is>
      </c>
      <c r="H1" s="3" t="inlineStr">
        <is>
          <t>evidencia_url</t>
        </is>
      </c>
      <c r="I1" s="3" t="inlineStr">
        <is>
          <t>status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  <row r="37">
      <c r="F37" s="4" t="n"/>
    </row>
    <row r="38">
      <c r="F38" s="4" t="n"/>
    </row>
    <row r="39">
      <c r="F39" s="4" t="n"/>
    </row>
    <row r="40">
      <c r="F40" s="4" t="n"/>
    </row>
    <row r="41">
      <c r="F41" s="4" t="n"/>
    </row>
    <row r="42">
      <c r="F42" s="4" t="n"/>
    </row>
    <row r="43">
      <c r="F43" s="4" t="n"/>
    </row>
    <row r="44">
      <c r="F44" s="4" t="n"/>
    </row>
    <row r="45">
      <c r="F45" s="4" t="n"/>
    </row>
    <row r="46">
      <c r="F46" s="4" t="n"/>
    </row>
    <row r="47">
      <c r="F47" s="4" t="n"/>
    </row>
    <row r="48">
      <c r="F48" s="4" t="n"/>
    </row>
    <row r="49">
      <c r="F49" s="4" t="n"/>
    </row>
    <row r="50">
      <c r="F50" s="4" t="n"/>
    </row>
    <row r="51">
      <c r="F51" s="4" t="n"/>
    </row>
    <row r="52">
      <c r="F52" s="4" t="n"/>
    </row>
    <row r="53">
      <c r="F53" s="4" t="n"/>
    </row>
    <row r="54">
      <c r="F54" s="4" t="n"/>
    </row>
    <row r="55">
      <c r="F55" s="4" t="n"/>
    </row>
    <row r="56">
      <c r="F56" s="4" t="n"/>
    </row>
    <row r="57">
      <c r="F57" s="4" t="n"/>
    </row>
    <row r="58">
      <c r="F58" s="4" t="n"/>
    </row>
    <row r="59">
      <c r="F59" s="4" t="n"/>
    </row>
    <row r="60">
      <c r="F60" s="4" t="n"/>
    </row>
    <row r="61">
      <c r="F61" s="4" t="n"/>
    </row>
    <row r="62">
      <c r="F62" s="4" t="n"/>
    </row>
    <row r="63">
      <c r="F63" s="4" t="n"/>
    </row>
    <row r="64">
      <c r="F64" s="4" t="n"/>
    </row>
    <row r="65">
      <c r="F65" s="4" t="n"/>
    </row>
    <row r="66">
      <c r="F66" s="4" t="n"/>
    </row>
    <row r="67">
      <c r="F67" s="4" t="n"/>
    </row>
    <row r="68">
      <c r="F68" s="4" t="n"/>
    </row>
    <row r="69">
      <c r="F69" s="4" t="n"/>
    </row>
    <row r="70">
      <c r="F70" s="4" t="n"/>
    </row>
    <row r="71">
      <c r="F71" s="4" t="n"/>
    </row>
    <row r="72">
      <c r="F72" s="4" t="n"/>
    </row>
    <row r="73">
      <c r="F73" s="4" t="n"/>
    </row>
    <row r="74">
      <c r="F74" s="4" t="n"/>
    </row>
    <row r="75">
      <c r="F75" s="4" t="n"/>
    </row>
    <row r="76">
      <c r="F76" s="4" t="n"/>
    </row>
    <row r="77">
      <c r="F77" s="4" t="n"/>
    </row>
    <row r="78">
      <c r="F78" s="4" t="n"/>
    </row>
    <row r="79">
      <c r="F79" s="4" t="n"/>
    </row>
    <row r="80">
      <c r="F80" s="4" t="n"/>
    </row>
    <row r="81">
      <c r="F81" s="4" t="n"/>
    </row>
    <row r="82">
      <c r="F82" s="4" t="n"/>
    </row>
    <row r="83">
      <c r="F83" s="4" t="n"/>
    </row>
    <row r="84">
      <c r="F84" s="4" t="n"/>
    </row>
    <row r="85">
      <c r="F85" s="4" t="n"/>
    </row>
    <row r="86">
      <c r="F86" s="4" t="n"/>
    </row>
    <row r="87">
      <c r="F87" s="4" t="n"/>
    </row>
    <row r="88">
      <c r="F88" s="4" t="n"/>
    </row>
    <row r="89">
      <c r="F89" s="4" t="n"/>
    </row>
    <row r="90">
      <c r="F90" s="4" t="n"/>
    </row>
    <row r="91">
      <c r="F91" s="4" t="n"/>
    </row>
    <row r="92">
      <c r="F92" s="4" t="n"/>
    </row>
    <row r="93">
      <c r="F93" s="4" t="n"/>
    </row>
    <row r="94">
      <c r="F94" s="4" t="n"/>
    </row>
    <row r="95">
      <c r="F95" s="4" t="n"/>
    </row>
    <row r="96">
      <c r="F96" s="4" t="n"/>
    </row>
    <row r="97">
      <c r="F97" s="4" t="n"/>
    </row>
    <row r="98">
      <c r="F98" s="4" t="n"/>
    </row>
    <row r="99">
      <c r="F99" s="4" t="n"/>
    </row>
    <row r="100">
      <c r="F100" s="4" t="n"/>
    </row>
    <row r="101">
      <c r="F101" s="4" t="n"/>
    </row>
    <row r="102">
      <c r="F102" s="4" t="n"/>
    </row>
    <row r="103">
      <c r="F103" s="4" t="n"/>
    </row>
    <row r="104">
      <c r="F104" s="4" t="n"/>
    </row>
    <row r="105">
      <c r="F105" s="4" t="n"/>
    </row>
    <row r="106">
      <c r="F106" s="4" t="n"/>
    </row>
    <row r="107">
      <c r="F107" s="4" t="n"/>
    </row>
    <row r="108">
      <c r="F108" s="4" t="n"/>
    </row>
    <row r="109">
      <c r="F109" s="4" t="n"/>
    </row>
    <row r="110">
      <c r="F110" s="4" t="n"/>
    </row>
    <row r="111">
      <c r="F111" s="4" t="n"/>
    </row>
    <row r="112">
      <c r="F112" s="4" t="n"/>
    </row>
    <row r="113">
      <c r="F113" s="4" t="n"/>
    </row>
    <row r="114">
      <c r="F114" s="4" t="n"/>
    </row>
    <row r="115">
      <c r="F115" s="4" t="n"/>
    </row>
    <row r="116">
      <c r="F116" s="4" t="n"/>
    </row>
    <row r="117">
      <c r="F117" s="4" t="n"/>
    </row>
    <row r="118">
      <c r="F118" s="4" t="n"/>
    </row>
    <row r="119">
      <c r="F119" s="4" t="n"/>
    </row>
    <row r="120">
      <c r="F120" s="4" t="n"/>
    </row>
    <row r="121">
      <c r="F121" s="4" t="n"/>
    </row>
    <row r="122">
      <c r="F122" s="4" t="n"/>
    </row>
    <row r="123">
      <c r="F123" s="4" t="n"/>
    </row>
    <row r="124">
      <c r="F124" s="4" t="n"/>
    </row>
    <row r="125">
      <c r="F125" s="4" t="n"/>
    </row>
    <row r="126">
      <c r="F126" s="4" t="n"/>
    </row>
    <row r="127">
      <c r="F127" s="4" t="n"/>
    </row>
    <row r="128">
      <c r="F128" s="4" t="n"/>
    </row>
    <row r="129">
      <c r="F129" s="4" t="n"/>
    </row>
    <row r="130">
      <c r="F130" s="4" t="n"/>
    </row>
    <row r="131">
      <c r="F131" s="4" t="n"/>
    </row>
    <row r="132">
      <c r="F132" s="4" t="n"/>
    </row>
    <row r="133">
      <c r="F133" s="4" t="n"/>
    </row>
    <row r="134">
      <c r="F134" s="4" t="n"/>
    </row>
    <row r="135">
      <c r="F135" s="4" t="n"/>
    </row>
    <row r="136">
      <c r="F136" s="4" t="n"/>
    </row>
    <row r="137">
      <c r="F137" s="4" t="n"/>
    </row>
    <row r="138">
      <c r="F138" s="4" t="n"/>
    </row>
    <row r="139">
      <c r="F139" s="4" t="n"/>
    </row>
    <row r="140">
      <c r="F140" s="4" t="n"/>
    </row>
    <row r="141">
      <c r="F141" s="4" t="n"/>
    </row>
    <row r="142">
      <c r="F142" s="4" t="n"/>
    </row>
    <row r="143">
      <c r="F143" s="4" t="n"/>
    </row>
    <row r="144">
      <c r="F144" s="4" t="n"/>
    </row>
    <row r="145">
      <c r="F145" s="4" t="n"/>
    </row>
    <row r="146">
      <c r="F146" s="4" t="n"/>
    </row>
    <row r="147">
      <c r="F147" s="4" t="n"/>
    </row>
    <row r="148">
      <c r="F148" s="4" t="n"/>
    </row>
    <row r="149">
      <c r="F149" s="4" t="n"/>
    </row>
    <row r="150">
      <c r="F150" s="4" t="n"/>
    </row>
    <row r="151">
      <c r="F151" s="4" t="n"/>
    </row>
    <row r="152">
      <c r="F152" s="4" t="n"/>
    </row>
    <row r="153">
      <c r="F153" s="4" t="n"/>
    </row>
    <row r="154">
      <c r="F154" s="4" t="n"/>
    </row>
    <row r="155">
      <c r="F155" s="4" t="n"/>
    </row>
    <row r="156">
      <c r="F156" s="4" t="n"/>
    </row>
    <row r="157">
      <c r="F157" s="4" t="n"/>
    </row>
    <row r="158">
      <c r="F158" s="4" t="n"/>
    </row>
    <row r="159">
      <c r="F159" s="4" t="n"/>
    </row>
    <row r="160">
      <c r="F160" s="4" t="n"/>
    </row>
    <row r="161">
      <c r="F161" s="4" t="n"/>
    </row>
    <row r="162">
      <c r="F162" s="4" t="n"/>
    </row>
    <row r="163">
      <c r="F163" s="4" t="n"/>
    </row>
    <row r="164">
      <c r="F164" s="4" t="n"/>
    </row>
    <row r="165">
      <c r="F165" s="4" t="n"/>
    </row>
    <row r="166">
      <c r="F166" s="4" t="n"/>
    </row>
    <row r="167">
      <c r="F167" s="4" t="n"/>
    </row>
    <row r="168">
      <c r="F168" s="4" t="n"/>
    </row>
    <row r="169">
      <c r="F169" s="4" t="n"/>
    </row>
    <row r="170">
      <c r="F170" s="4" t="n"/>
    </row>
    <row r="171">
      <c r="F171" s="4" t="n"/>
    </row>
    <row r="172">
      <c r="F172" s="4" t="n"/>
    </row>
    <row r="173">
      <c r="F173" s="4" t="n"/>
    </row>
    <row r="174">
      <c r="F174" s="4" t="n"/>
    </row>
    <row r="175">
      <c r="F175" s="4" t="n"/>
    </row>
    <row r="176">
      <c r="F176" s="4" t="n"/>
    </row>
    <row r="177">
      <c r="F177" s="4" t="n"/>
    </row>
    <row r="178">
      <c r="F178" s="4" t="n"/>
    </row>
    <row r="179">
      <c r="F179" s="4" t="n"/>
    </row>
    <row r="180">
      <c r="F180" s="4" t="n"/>
    </row>
    <row r="181">
      <c r="F181" s="4" t="n"/>
    </row>
    <row r="182">
      <c r="F182" s="4" t="n"/>
    </row>
    <row r="183">
      <c r="F183" s="4" t="n"/>
    </row>
    <row r="184">
      <c r="F184" s="4" t="n"/>
    </row>
    <row r="185">
      <c r="F185" s="4" t="n"/>
    </row>
    <row r="186">
      <c r="F186" s="4" t="n"/>
    </row>
    <row r="187">
      <c r="F187" s="4" t="n"/>
    </row>
    <row r="188">
      <c r="F188" s="4" t="n"/>
    </row>
    <row r="189">
      <c r="F189" s="4" t="n"/>
    </row>
    <row r="190">
      <c r="F190" s="4" t="n"/>
    </row>
    <row r="191">
      <c r="F191" s="4" t="n"/>
    </row>
    <row r="192">
      <c r="F192" s="4" t="n"/>
    </row>
    <row r="193">
      <c r="F193" s="4" t="n"/>
    </row>
    <row r="194">
      <c r="F194" s="4" t="n"/>
    </row>
    <row r="195">
      <c r="F195" s="4" t="n"/>
    </row>
    <row r="196">
      <c r="F196" s="4" t="n"/>
    </row>
    <row r="197">
      <c r="F197" s="4" t="n"/>
    </row>
    <row r="198">
      <c r="F198" s="4" t="n"/>
    </row>
    <row r="199">
      <c r="F199" s="4" t="n"/>
    </row>
    <row r="200">
      <c r="F200" s="4" t="n"/>
    </row>
    <row r="201">
      <c r="F201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2" customWidth="1" min="6" max="6"/>
    <col width="15" customWidth="1" min="7" max="7"/>
    <col width="12" customWidth="1" min="8" max="8"/>
  </cols>
  <sheetData>
    <row r="1">
      <c r="A1" s="3" t="inlineStr">
        <is>
          <t>conquista_id</t>
        </is>
      </c>
      <c r="B1" s="3" t="inlineStr">
        <is>
          <t>cgm</t>
        </is>
      </c>
      <c r="C1" s="3" t="inlineStr">
        <is>
          <t>ano_formativo</t>
        </is>
      </c>
      <c r="D1" s="3" t="inlineStr">
        <is>
          <t>tipo_conquista</t>
        </is>
      </c>
      <c r="E1" s="3" t="inlineStr">
        <is>
          <t>data_conquista</t>
        </is>
      </c>
      <c r="F1" s="3" t="inlineStr">
        <is>
          <t>xp</t>
        </is>
      </c>
      <c r="G1" s="3" t="inlineStr">
        <is>
          <t>evidencia_url</t>
        </is>
      </c>
      <c r="H1" s="3" t="inlineStr">
        <is>
          <t>status</t>
        </is>
      </c>
    </row>
    <row r="2">
      <c r="E2" s="4" t="n"/>
    </row>
    <row r="3">
      <c r="E3" s="4" t="n"/>
    </row>
    <row r="4">
      <c r="E4" s="4" t="n"/>
    </row>
    <row r="5">
      <c r="E5" s="4" t="n"/>
    </row>
    <row r="6">
      <c r="E6" s="4" t="n"/>
    </row>
    <row r="7">
      <c r="E7" s="4" t="n"/>
    </row>
    <row r="8">
      <c r="E8" s="4" t="n"/>
    </row>
    <row r="9">
      <c r="E9" s="4" t="n"/>
    </row>
    <row r="10">
      <c r="E10" s="4" t="n"/>
    </row>
    <row r="11">
      <c r="E11" s="4" t="n"/>
    </row>
    <row r="12">
      <c r="E12" s="4" t="n"/>
    </row>
    <row r="13">
      <c r="E13" s="4" t="n"/>
    </row>
    <row r="14">
      <c r="E14" s="4" t="n"/>
    </row>
    <row r="15">
      <c r="E15" s="4" t="n"/>
    </row>
    <row r="16">
      <c r="E16" s="4" t="n"/>
    </row>
    <row r="17">
      <c r="E17" s="4" t="n"/>
    </row>
    <row r="18">
      <c r="E18" s="4" t="n"/>
    </row>
    <row r="19">
      <c r="E19" s="4" t="n"/>
    </row>
    <row r="20">
      <c r="E20" s="4" t="n"/>
    </row>
    <row r="21">
      <c r="E21" s="4" t="n"/>
    </row>
    <row r="22">
      <c r="E22" s="4" t="n"/>
    </row>
    <row r="23">
      <c r="E23" s="4" t="n"/>
    </row>
    <row r="24">
      <c r="E24" s="4" t="n"/>
    </row>
    <row r="25">
      <c r="E25" s="4" t="n"/>
    </row>
    <row r="26">
      <c r="E26" s="4" t="n"/>
    </row>
    <row r="27">
      <c r="E27" s="4" t="n"/>
    </row>
    <row r="28">
      <c r="E28" s="4" t="n"/>
    </row>
    <row r="29">
      <c r="E29" s="4" t="n"/>
    </row>
    <row r="30">
      <c r="E30" s="4" t="n"/>
    </row>
    <row r="31">
      <c r="E31" s="4" t="n"/>
    </row>
    <row r="32">
      <c r="E32" s="4" t="n"/>
    </row>
    <row r="33">
      <c r="E33" s="4" t="n"/>
    </row>
    <row r="34">
      <c r="E34" s="4" t="n"/>
    </row>
    <row r="35">
      <c r="E35" s="4" t="n"/>
    </row>
    <row r="36">
      <c r="E36" s="4" t="n"/>
    </row>
    <row r="37">
      <c r="E37" s="4" t="n"/>
    </row>
    <row r="38">
      <c r="E38" s="4" t="n"/>
    </row>
    <row r="39">
      <c r="E39" s="4" t="n"/>
    </row>
    <row r="40">
      <c r="E40" s="4" t="n"/>
    </row>
    <row r="41">
      <c r="E41" s="4" t="n"/>
    </row>
    <row r="42">
      <c r="E42" s="4" t="n"/>
    </row>
    <row r="43">
      <c r="E43" s="4" t="n"/>
    </row>
    <row r="44">
      <c r="E44" s="4" t="n"/>
    </row>
    <row r="45">
      <c r="E45" s="4" t="n"/>
    </row>
    <row r="46">
      <c r="E46" s="4" t="n"/>
    </row>
    <row r="47">
      <c r="E47" s="4" t="n"/>
    </row>
    <row r="48">
      <c r="E48" s="4" t="n"/>
    </row>
    <row r="49">
      <c r="E49" s="4" t="n"/>
    </row>
    <row r="50">
      <c r="E50" s="4" t="n"/>
    </row>
    <row r="51">
      <c r="E51" s="4" t="n"/>
    </row>
    <row r="52">
      <c r="E52" s="4" t="n"/>
    </row>
    <row r="53">
      <c r="E53" s="4" t="n"/>
    </row>
    <row r="54">
      <c r="E54" s="4" t="n"/>
    </row>
    <row r="55">
      <c r="E55" s="4" t="n"/>
    </row>
    <row r="56">
      <c r="E56" s="4" t="n"/>
    </row>
    <row r="57">
      <c r="E57" s="4" t="n"/>
    </row>
    <row r="58">
      <c r="E58" s="4" t="n"/>
    </row>
    <row r="59">
      <c r="E59" s="4" t="n"/>
    </row>
    <row r="60">
      <c r="E60" s="4" t="n"/>
    </row>
    <row r="61">
      <c r="E61" s="4" t="n"/>
    </row>
    <row r="62">
      <c r="E62" s="4" t="n"/>
    </row>
    <row r="63">
      <c r="E63" s="4" t="n"/>
    </row>
    <row r="64">
      <c r="E64" s="4" t="n"/>
    </row>
    <row r="65">
      <c r="E65" s="4" t="n"/>
    </row>
    <row r="66">
      <c r="E66" s="4" t="n"/>
    </row>
    <row r="67">
      <c r="E67" s="4" t="n"/>
    </row>
    <row r="68">
      <c r="E68" s="4" t="n"/>
    </row>
    <row r="69">
      <c r="E69" s="4" t="n"/>
    </row>
    <row r="70">
      <c r="E70" s="4" t="n"/>
    </row>
    <row r="71">
      <c r="E71" s="4" t="n"/>
    </row>
    <row r="72">
      <c r="E72" s="4" t="n"/>
    </row>
    <row r="73">
      <c r="E73" s="4" t="n"/>
    </row>
    <row r="74">
      <c r="E74" s="4" t="n"/>
    </row>
    <row r="75">
      <c r="E75" s="4" t="n"/>
    </row>
    <row r="76">
      <c r="E76" s="4" t="n"/>
    </row>
    <row r="77">
      <c r="E77" s="4" t="n"/>
    </row>
    <row r="78">
      <c r="E78" s="4" t="n"/>
    </row>
    <row r="79">
      <c r="E79" s="4" t="n"/>
    </row>
    <row r="80">
      <c r="E80" s="4" t="n"/>
    </row>
    <row r="81">
      <c r="E81" s="4" t="n"/>
    </row>
    <row r="82">
      <c r="E82" s="4" t="n"/>
    </row>
    <row r="83">
      <c r="E83" s="4" t="n"/>
    </row>
    <row r="84">
      <c r="E84" s="4" t="n"/>
    </row>
    <row r="85">
      <c r="E85" s="4" t="n"/>
    </row>
    <row r="86">
      <c r="E86" s="4" t="n"/>
    </row>
    <row r="87">
      <c r="E87" s="4" t="n"/>
    </row>
    <row r="88">
      <c r="E88" s="4" t="n"/>
    </row>
    <row r="89">
      <c r="E89" s="4" t="n"/>
    </row>
    <row r="90">
      <c r="E90" s="4" t="n"/>
    </row>
    <row r="91">
      <c r="E91" s="4" t="n"/>
    </row>
    <row r="92">
      <c r="E92" s="4" t="n"/>
    </row>
    <row r="93">
      <c r="E93" s="4" t="n"/>
    </row>
    <row r="94">
      <c r="E94" s="4" t="n"/>
    </row>
    <row r="95">
      <c r="E95" s="4" t="n"/>
    </row>
    <row r="96">
      <c r="E96" s="4" t="n"/>
    </row>
    <row r="97">
      <c r="E97" s="4" t="n"/>
    </row>
    <row r="98">
      <c r="E98" s="4" t="n"/>
    </row>
    <row r="99">
      <c r="E99" s="4" t="n"/>
    </row>
    <row r="100">
      <c r="E100" s="4" t="n"/>
    </row>
    <row r="101">
      <c r="E101" s="4" t="n"/>
    </row>
    <row r="102">
      <c r="E102" s="4" t="n"/>
    </row>
    <row r="103">
      <c r="E103" s="4" t="n"/>
    </row>
    <row r="104">
      <c r="E104" s="4" t="n"/>
    </row>
    <row r="105">
      <c r="E105" s="4" t="n"/>
    </row>
    <row r="106">
      <c r="E106" s="4" t="n"/>
    </row>
    <row r="107">
      <c r="E107" s="4" t="n"/>
    </row>
    <row r="108">
      <c r="E108" s="4" t="n"/>
    </row>
    <row r="109">
      <c r="E109" s="4" t="n"/>
    </row>
    <row r="110">
      <c r="E110" s="4" t="n"/>
    </row>
    <row r="111">
      <c r="E111" s="4" t="n"/>
    </row>
    <row r="112">
      <c r="E112" s="4" t="n"/>
    </row>
    <row r="113">
      <c r="E113" s="4" t="n"/>
    </row>
    <row r="114">
      <c r="E114" s="4" t="n"/>
    </row>
    <row r="115">
      <c r="E115" s="4" t="n"/>
    </row>
    <row r="116">
      <c r="E116" s="4" t="n"/>
    </row>
    <row r="117">
      <c r="E117" s="4" t="n"/>
    </row>
    <row r="118">
      <c r="E118" s="4" t="n"/>
    </row>
    <row r="119">
      <c r="E119" s="4" t="n"/>
    </row>
    <row r="120">
      <c r="E120" s="4" t="n"/>
    </row>
    <row r="121">
      <c r="E121" s="4" t="n"/>
    </row>
    <row r="122">
      <c r="E122" s="4" t="n"/>
    </row>
    <row r="123">
      <c r="E123" s="4" t="n"/>
    </row>
    <row r="124">
      <c r="E124" s="4" t="n"/>
    </row>
    <row r="125">
      <c r="E125" s="4" t="n"/>
    </row>
    <row r="126">
      <c r="E126" s="4" t="n"/>
    </row>
    <row r="127">
      <c r="E127" s="4" t="n"/>
    </row>
    <row r="128">
      <c r="E128" s="4" t="n"/>
    </row>
    <row r="129">
      <c r="E129" s="4" t="n"/>
    </row>
    <row r="130">
      <c r="E130" s="4" t="n"/>
    </row>
    <row r="131">
      <c r="E131" s="4" t="n"/>
    </row>
    <row r="132">
      <c r="E132" s="4" t="n"/>
    </row>
    <row r="133">
      <c r="E133" s="4" t="n"/>
    </row>
    <row r="134">
      <c r="E134" s="4" t="n"/>
    </row>
    <row r="135">
      <c r="E135" s="4" t="n"/>
    </row>
    <row r="136">
      <c r="E136" s="4" t="n"/>
    </row>
    <row r="137">
      <c r="E137" s="4" t="n"/>
    </row>
    <row r="138">
      <c r="E138" s="4" t="n"/>
    </row>
    <row r="139">
      <c r="E139" s="4" t="n"/>
    </row>
    <row r="140">
      <c r="E140" s="4" t="n"/>
    </row>
    <row r="141">
      <c r="E141" s="4" t="n"/>
    </row>
    <row r="142">
      <c r="E142" s="4" t="n"/>
    </row>
    <row r="143">
      <c r="E143" s="4" t="n"/>
    </row>
    <row r="144">
      <c r="E144" s="4" t="n"/>
    </row>
    <row r="145">
      <c r="E145" s="4" t="n"/>
    </row>
    <row r="146">
      <c r="E146" s="4" t="n"/>
    </row>
    <row r="147">
      <c r="E147" s="4" t="n"/>
    </row>
    <row r="148">
      <c r="E148" s="4" t="n"/>
    </row>
    <row r="149">
      <c r="E149" s="4" t="n"/>
    </row>
    <row r="150">
      <c r="E150" s="4" t="n"/>
    </row>
    <row r="151">
      <c r="E151" s="4" t="n"/>
    </row>
    <row r="152">
      <c r="E152" s="4" t="n"/>
    </row>
    <row r="153">
      <c r="E153" s="4" t="n"/>
    </row>
    <row r="154">
      <c r="E154" s="4" t="n"/>
    </row>
    <row r="155">
      <c r="E155" s="4" t="n"/>
    </row>
    <row r="156">
      <c r="E156" s="4" t="n"/>
    </row>
    <row r="157">
      <c r="E157" s="4" t="n"/>
    </row>
    <row r="158">
      <c r="E158" s="4" t="n"/>
    </row>
    <row r="159">
      <c r="E159" s="4" t="n"/>
    </row>
    <row r="160">
      <c r="E160" s="4" t="n"/>
    </row>
    <row r="161">
      <c r="E161" s="4" t="n"/>
    </row>
    <row r="162">
      <c r="E162" s="4" t="n"/>
    </row>
    <row r="163">
      <c r="E163" s="4" t="n"/>
    </row>
    <row r="164">
      <c r="E164" s="4" t="n"/>
    </row>
    <row r="165">
      <c r="E165" s="4" t="n"/>
    </row>
    <row r="166">
      <c r="E166" s="4" t="n"/>
    </row>
    <row r="167">
      <c r="E167" s="4" t="n"/>
    </row>
    <row r="168">
      <c r="E168" s="4" t="n"/>
    </row>
    <row r="169">
      <c r="E169" s="4" t="n"/>
    </row>
    <row r="170">
      <c r="E170" s="4" t="n"/>
    </row>
    <row r="171">
      <c r="E171" s="4" t="n"/>
    </row>
    <row r="172">
      <c r="E172" s="4" t="n"/>
    </row>
    <row r="173">
      <c r="E173" s="4" t="n"/>
    </row>
    <row r="174">
      <c r="E174" s="4" t="n"/>
    </row>
    <row r="175">
      <c r="E175" s="4" t="n"/>
    </row>
    <row r="176">
      <c r="E176" s="4" t="n"/>
    </row>
    <row r="177">
      <c r="E177" s="4" t="n"/>
    </row>
    <row r="178">
      <c r="E178" s="4" t="n"/>
    </row>
    <row r="179">
      <c r="E179" s="4" t="n"/>
    </row>
    <row r="180">
      <c r="E180" s="4" t="n"/>
    </row>
    <row r="181">
      <c r="E181" s="4" t="n"/>
    </row>
    <row r="182">
      <c r="E182" s="4" t="n"/>
    </row>
    <row r="183">
      <c r="E183" s="4" t="n"/>
    </row>
    <row r="184">
      <c r="E184" s="4" t="n"/>
    </row>
    <row r="185">
      <c r="E185" s="4" t="n"/>
    </row>
    <row r="186">
      <c r="E186" s="4" t="n"/>
    </row>
    <row r="187">
      <c r="E187" s="4" t="n"/>
    </row>
    <row r="188">
      <c r="E188" s="4" t="n"/>
    </row>
    <row r="189">
      <c r="E189" s="4" t="n"/>
    </row>
    <row r="190">
      <c r="E190" s="4" t="n"/>
    </row>
    <row r="191">
      <c r="E191" s="4" t="n"/>
    </row>
    <row r="192">
      <c r="E192" s="4" t="n"/>
    </row>
    <row r="193">
      <c r="E193" s="4" t="n"/>
    </row>
    <row r="194">
      <c r="E194" s="4" t="n"/>
    </row>
    <row r="195">
      <c r="E195" s="4" t="n"/>
    </row>
    <row r="196">
      <c r="E196" s="4" t="n"/>
    </row>
    <row r="197">
      <c r="E197" s="4" t="n"/>
    </row>
    <row r="198">
      <c r="E198" s="4" t="n"/>
    </row>
    <row r="199">
      <c r="E199" s="4" t="n"/>
    </row>
    <row r="200">
      <c r="E200" s="4" t="n"/>
    </row>
    <row r="201">
      <c r="E201" s="4" t="n"/>
    </row>
    <row r="202">
      <c r="E202" s="4" t="n"/>
    </row>
    <row r="203">
      <c r="E203" s="4" t="n"/>
    </row>
    <row r="204">
      <c r="E204" s="4" t="n"/>
    </row>
    <row r="205">
      <c r="E205" s="4" t="n"/>
    </row>
    <row r="206">
      <c r="E206" s="4" t="n"/>
    </row>
    <row r="207">
      <c r="E207" s="4" t="n"/>
    </row>
    <row r="208">
      <c r="E208" s="4" t="n"/>
    </row>
    <row r="209">
      <c r="E209" s="4" t="n"/>
    </row>
    <row r="210">
      <c r="E210" s="4" t="n"/>
    </row>
    <row r="211">
      <c r="E211" s="4" t="n"/>
    </row>
    <row r="212">
      <c r="E212" s="4" t="n"/>
    </row>
    <row r="213">
      <c r="E213" s="4" t="n"/>
    </row>
    <row r="214">
      <c r="E214" s="4" t="n"/>
    </row>
    <row r="215">
      <c r="E215" s="4" t="n"/>
    </row>
    <row r="216">
      <c r="E216" s="4" t="n"/>
    </row>
    <row r="217">
      <c r="E217" s="4" t="n"/>
    </row>
    <row r="218">
      <c r="E218" s="4" t="n"/>
    </row>
    <row r="219">
      <c r="E219" s="4" t="n"/>
    </row>
    <row r="220">
      <c r="E220" s="4" t="n"/>
    </row>
    <row r="221">
      <c r="E221" s="4" t="n"/>
    </row>
    <row r="222">
      <c r="E222" s="4" t="n"/>
    </row>
    <row r="223">
      <c r="E223" s="4" t="n"/>
    </row>
    <row r="224">
      <c r="E224" s="4" t="n"/>
    </row>
    <row r="225">
      <c r="E225" s="4" t="n"/>
    </row>
    <row r="226">
      <c r="E226" s="4" t="n"/>
    </row>
    <row r="227">
      <c r="E227" s="4" t="n"/>
    </row>
    <row r="228">
      <c r="E228" s="4" t="n"/>
    </row>
    <row r="229">
      <c r="E229" s="4" t="n"/>
    </row>
    <row r="230">
      <c r="E230" s="4" t="n"/>
    </row>
    <row r="231">
      <c r="E231" s="4" t="n"/>
    </row>
    <row r="232">
      <c r="E232" s="4" t="n"/>
    </row>
    <row r="233">
      <c r="E233" s="4" t="n"/>
    </row>
    <row r="234">
      <c r="E234" s="4" t="n"/>
    </row>
    <row r="235">
      <c r="E235" s="4" t="n"/>
    </row>
    <row r="236">
      <c r="E236" s="4" t="n"/>
    </row>
    <row r="237">
      <c r="E237" s="4" t="n"/>
    </row>
    <row r="238">
      <c r="E238" s="4" t="n"/>
    </row>
    <row r="239">
      <c r="E239" s="4" t="n"/>
    </row>
    <row r="240">
      <c r="E240" s="4" t="n"/>
    </row>
    <row r="241">
      <c r="E241" s="4" t="n"/>
    </row>
    <row r="242">
      <c r="E242" s="4" t="n"/>
    </row>
    <row r="243">
      <c r="E243" s="4" t="n"/>
    </row>
    <row r="244">
      <c r="E244" s="4" t="n"/>
    </row>
    <row r="245">
      <c r="E245" s="4" t="n"/>
    </row>
    <row r="246">
      <c r="E246" s="4" t="n"/>
    </row>
    <row r="247">
      <c r="E247" s="4" t="n"/>
    </row>
    <row r="248">
      <c r="E248" s="4" t="n"/>
    </row>
    <row r="249">
      <c r="E249" s="4" t="n"/>
    </row>
    <row r="250">
      <c r="E250" s="4" t="n"/>
    </row>
    <row r="251">
      <c r="E251" s="4" t="n"/>
    </row>
    <row r="252">
      <c r="E252" s="4" t="n"/>
    </row>
    <row r="253">
      <c r="E253" s="4" t="n"/>
    </row>
    <row r="254">
      <c r="E254" s="4" t="n"/>
    </row>
    <row r="255">
      <c r="E255" s="4" t="n"/>
    </row>
    <row r="256">
      <c r="E256" s="4" t="n"/>
    </row>
    <row r="257">
      <c r="E257" s="4" t="n"/>
    </row>
    <row r="258">
      <c r="E258" s="4" t="n"/>
    </row>
    <row r="259">
      <c r="E259" s="4" t="n"/>
    </row>
    <row r="260">
      <c r="E260" s="4" t="n"/>
    </row>
    <row r="261">
      <c r="E261" s="4" t="n"/>
    </row>
    <row r="262">
      <c r="E262" s="4" t="n"/>
    </row>
    <row r="263">
      <c r="E263" s="4" t="n"/>
    </row>
    <row r="264">
      <c r="E264" s="4" t="n"/>
    </row>
    <row r="265">
      <c r="E265" s="4" t="n"/>
    </row>
    <row r="266">
      <c r="E266" s="4" t="n"/>
    </row>
    <row r="267">
      <c r="E267" s="4" t="n"/>
    </row>
    <row r="268">
      <c r="E268" s="4" t="n"/>
    </row>
    <row r="269">
      <c r="E269" s="4" t="n"/>
    </row>
    <row r="270">
      <c r="E270" s="4" t="n"/>
    </row>
    <row r="271">
      <c r="E271" s="4" t="n"/>
    </row>
    <row r="272">
      <c r="E272" s="4" t="n"/>
    </row>
    <row r="273">
      <c r="E273" s="4" t="n"/>
    </row>
    <row r="274">
      <c r="E274" s="4" t="n"/>
    </row>
    <row r="275">
      <c r="E275" s="4" t="n"/>
    </row>
    <row r="276">
      <c r="E276" s="4" t="n"/>
    </row>
    <row r="277">
      <c r="E277" s="4" t="n"/>
    </row>
    <row r="278">
      <c r="E278" s="4" t="n"/>
    </row>
    <row r="279">
      <c r="E279" s="4" t="n"/>
    </row>
    <row r="280">
      <c r="E280" s="4" t="n"/>
    </row>
    <row r="281">
      <c r="E281" s="4" t="n"/>
    </row>
    <row r="282">
      <c r="E282" s="4" t="n"/>
    </row>
    <row r="283">
      <c r="E283" s="4" t="n"/>
    </row>
    <row r="284">
      <c r="E284" s="4" t="n"/>
    </row>
    <row r="285">
      <c r="E285" s="4" t="n"/>
    </row>
    <row r="286">
      <c r="E286" s="4" t="n"/>
    </row>
    <row r="287">
      <c r="E287" s="4" t="n"/>
    </row>
    <row r="288">
      <c r="E288" s="4" t="n"/>
    </row>
    <row r="289">
      <c r="E289" s="4" t="n"/>
    </row>
    <row r="290">
      <c r="E290" s="4" t="n"/>
    </row>
    <row r="291">
      <c r="E291" s="4" t="n"/>
    </row>
    <row r="292">
      <c r="E292" s="4" t="n"/>
    </row>
    <row r="293">
      <c r="E293" s="4" t="n"/>
    </row>
    <row r="294">
      <c r="E294" s="4" t="n"/>
    </row>
    <row r="295">
      <c r="E295" s="4" t="n"/>
    </row>
    <row r="296">
      <c r="E296" s="4" t="n"/>
    </row>
    <row r="297">
      <c r="E297" s="4" t="n"/>
    </row>
    <row r="298">
      <c r="E298" s="4" t="n"/>
    </row>
    <row r="299">
      <c r="E299" s="4" t="n"/>
    </row>
    <row r="300">
      <c r="E300" s="4" t="n"/>
    </row>
    <row r="301">
      <c r="E301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19" customWidth="1" min="4" max="4"/>
    <col width="12" customWidth="1" min="5" max="5"/>
  </cols>
  <sheetData>
    <row r="1">
      <c r="A1" s="3" t="inlineStr">
        <is>
          <t>conquista_id</t>
        </is>
      </c>
      <c r="B1" s="3" t="inlineStr">
        <is>
          <t>nome_conquista</t>
        </is>
      </c>
      <c r="C1" s="3" t="inlineStr">
        <is>
          <t>descricao</t>
        </is>
      </c>
      <c r="D1" s="3" t="inlineStr">
        <is>
          <t>reseta_anualmente</t>
        </is>
      </c>
      <c r="E1" s="3" t="inlineStr">
        <is>
          <t>xp</t>
        </is>
      </c>
    </row>
    <row r="2">
      <c r="A2" t="inlineStr">
        <is>
          <t>C01</t>
        </is>
      </c>
      <c r="B2" t="inlineStr">
        <is>
          <t>Iniciar a jornada</t>
        </is>
      </c>
      <c r="C2" t="inlineStr">
        <is>
          <t>Primeiro marco do ano formativo.</t>
        </is>
      </c>
      <c r="D2" t="inlineStr">
        <is>
          <t>SIM</t>
        </is>
      </c>
      <c r="E2" t="n">
        <v>20</v>
      </c>
    </row>
    <row r="3">
      <c r="A3" t="inlineStr">
        <is>
          <t>C02</t>
        </is>
      </c>
      <c r="B3" t="inlineStr">
        <is>
          <t>Primeiro planejamento</t>
        </is>
      </c>
      <c r="C3" t="inlineStr">
        <is>
          <t>Concluiu o primeiro planejamento.</t>
        </is>
      </c>
      <c r="D3" t="inlineStr">
        <is>
          <t>SIM</t>
        </is>
      </c>
      <c r="E3" t="n">
        <v>40</v>
      </c>
    </row>
    <row r="4">
      <c r="A4" t="inlineStr">
        <is>
          <t>C03</t>
        </is>
      </c>
      <c r="B4" t="inlineStr">
        <is>
          <t>Primeiro feedback</t>
        </is>
      </c>
      <c r="C4" t="inlineStr">
        <is>
          <t>Realizou/recebeu o primeiro feedback.</t>
        </is>
      </c>
      <c r="D4" t="inlineStr">
        <is>
          <t>SIM</t>
        </is>
      </c>
      <c r="E4" t="n">
        <v>50</v>
      </c>
    </row>
    <row r="5">
      <c r="A5" t="inlineStr">
        <is>
          <t>C04</t>
        </is>
      </c>
      <c r="B5" t="inlineStr">
        <is>
          <t>Atingiu nível avançado em uma implementação</t>
        </is>
      </c>
      <c r="C5" t="inlineStr">
        <is>
          <t>Alcançou nível avançado em uma implementação.</t>
        </is>
      </c>
      <c r="D5" t="inlineStr">
        <is>
          <t>SIM</t>
        </is>
      </c>
      <c r="E5" t="n">
        <v>80</v>
      </c>
    </row>
    <row r="6">
      <c r="A6" t="inlineStr">
        <is>
          <t>C05</t>
        </is>
      </c>
      <c r="B6" t="inlineStr">
        <is>
          <t>Indicação de boa prática</t>
        </is>
      </c>
      <c r="C6" t="inlineStr">
        <is>
          <t>Boa prática indicada/reconhecida.</t>
        </is>
      </c>
      <c r="D6" t="inlineStr">
        <is>
          <t>SIM</t>
        </is>
      </c>
      <c r="E6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7" customWidth="1" min="5" max="5"/>
  </cols>
  <sheetData>
    <row r="1">
      <c r="A1" s="3" t="inlineStr">
        <is>
          <t>lista</t>
        </is>
      </c>
      <c r="B1" s="3" t="inlineStr">
        <is>
          <t>modalidades</t>
        </is>
      </c>
      <c r="C1" s="3" t="inlineStr">
        <is>
          <t>status_estagio</t>
        </is>
      </c>
      <c r="D1" s="3" t="inlineStr">
        <is>
          <t>vinculos</t>
        </is>
      </c>
      <c r="E1" s="3" t="inlineStr">
        <is>
          <t>anos_formativos</t>
        </is>
      </c>
    </row>
    <row r="2">
      <c r="A2" t="inlineStr"/>
      <c r="B2" t="inlineStr">
        <is>
          <t>PRESENCIAL</t>
        </is>
      </c>
      <c r="C2" t="inlineStr">
        <is>
          <t>EM ANDAMENTO</t>
        </is>
      </c>
      <c r="D2" t="inlineStr">
        <is>
          <t>QPM</t>
        </is>
      </c>
      <c r="E2" t="n">
        <v>1</v>
      </c>
    </row>
    <row r="3">
      <c r="A3" t="inlineStr"/>
      <c r="B3" t="inlineStr">
        <is>
          <t>EAD</t>
        </is>
      </c>
      <c r="C3" t="inlineStr">
        <is>
          <t>FINALIZAÇÃO</t>
        </is>
      </c>
      <c r="D3" t="inlineStr">
        <is>
          <t>PSS</t>
        </is>
      </c>
      <c r="E3" t="n">
        <v>2</v>
      </c>
    </row>
    <row r="4">
      <c r="A4" t="inlineStr"/>
      <c r="B4" t="inlineStr">
        <is>
          <t>HÍBRIDA</t>
        </is>
      </c>
      <c r="C4" t="inlineStr">
        <is>
          <t>CONCLUÍDO</t>
        </is>
      </c>
      <c r="D4" t="inlineStr">
        <is>
          <t>REPR</t>
        </is>
      </c>
      <c r="E4" t="n">
        <v>3</v>
      </c>
    </row>
    <row r="5">
      <c r="A5" t="inlineStr"/>
      <c r="B5" t="inlineStr">
        <is>
          <t>SEMIPRESENCIAL</t>
        </is>
      </c>
      <c r="C5" t="inlineStr">
        <is>
          <t>SUSPENSO</t>
        </is>
      </c>
      <c r="D5" t="inlineStr">
        <is>
          <t>GPES</t>
        </is>
      </c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2026-08-26T12:27:31Z</dcterms:created>
  <dcterms:modified xmlns:dcterms="http://purl.org/dc/terms/" xmlns:xsi="http://www.w3.org/2001/XMLSchema-instance" xsi:type="dcterms:W3CDTF">2026-08-26T12:27:31Z</dcterms:modified>
</cp:coreProperties>
</file>