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VIDA_FUNCIONAL_ADM" sheetId="2" state="visible" r:id="rId2"/>
    <sheet xmlns:r="http://schemas.openxmlformats.org/officeDocument/2006/relationships" name="DASHBOARD_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002D5C"/>
      <sz val="14"/>
    </font>
    <font>
      <name val="Arial"/>
      <i val="1"/>
      <color rgb="005A6E85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2D5C"/>
        <bgColor rgb="00002D5C"/>
      </patternFill>
    </fill>
    <fill>
      <patternFill patternType="solid">
        <fgColor rgb="000B3C5D"/>
        <bgColor rgb="000B3C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GESTÃO DA VIDA FUNCIONAL - ESTÁGIO PROBATÓRIO (SEED-PR)</t>
        </is>
      </c>
    </row>
    <row r="2">
      <c r="A2" s="2" t="inlineStr">
        <is>
          <t>Manual de Instruções e Regras de Cálculo da Planilha Administrativa</t>
        </is>
      </c>
    </row>
    <row r="4">
      <c r="A4" s="3" t="inlineStr">
        <is>
          <t>TÓPICO</t>
        </is>
      </c>
      <c r="B4" s="3" t="inlineStr">
        <is>
          <t>DESCRIÇÃO E REGRA DE NEGÓCIO</t>
        </is>
      </c>
    </row>
    <row r="5">
      <c r="A5" s="4" t="inlineStr">
        <is>
          <t>REGRA DOS 36 MESES</t>
        </is>
      </c>
      <c r="B5" s="5" t="inlineStr">
        <is>
          <t>O Estágio Probatório possui duração regulamentar de 36 meses (3 anos / 1095 dias).</t>
        </is>
      </c>
    </row>
    <row r="6">
      <c r="A6" s="4" t="inlineStr">
        <is>
          <t>DIAS DE AFASTAMENTO</t>
        </is>
      </c>
      <c r="B6" s="5" t="inlineStr">
        <is>
          <t>Licenças ou afastamentos legais inseridos na coluna 'dias_afastamento' prorrogam a data final do estágio automaticamente na mesma proporção.</t>
        </is>
      </c>
    </row>
    <row r="7">
      <c r="A7" s="4" t="inlineStr">
        <is>
          <t>REGRA DA AVALIAÇÃO FORMATIVA (-90 DIAS)</t>
        </is>
      </c>
      <c r="B7" s="5" t="inlineStr">
        <is>
          <t>A Avaliação Formativa deve ser totalmente concluída EXATAMENTE 90 DIAS ANTES da data de término do Estágio Probatório.</t>
        </is>
      </c>
    </row>
    <row r="8">
      <c r="A8" s="4" t="inlineStr">
        <is>
          <t>FASE FINAL DE AVALIAÇÃO</t>
        </is>
      </c>
      <c r="B8" s="5" t="inlineStr">
        <is>
          <t>Quando o cursista atinge os últimos 90 dias do estágio probatório, seu status muda automaticamente para 'FASE FINAL (Últimos 90 dias)', sinalizando à equipe pedagógica que a avaliação formativa final precisa ser encerrada.</t>
        </is>
      </c>
    </row>
    <row r="9">
      <c r="A9" s="4" t="inlineStr">
        <is>
          <t>NÍVEL / ANO DO CURSISTA</t>
        </is>
      </c>
      <c r="B9" s="5" t="inlineStr">
        <is>
          <t>Calculado dinamicamente: Nível 1 (1º Ano), Nível 2 (2º Ano) ou Nível 3 (3º Ano) de acordo com o tempo decorrido do concurso/estágio.</t>
        </is>
      </c>
    </row>
    <row r="10">
      <c r="A10" s="4" t="inlineStr">
        <is>
          <t>APP / CARD DO CURSISTA</t>
        </is>
      </c>
      <c r="B10" s="5" t="inlineStr">
        <is>
          <t>Os dados desta planilha alimentam visualmente o App / Card Gamificado de Vida Funcional exibido para cada cursista no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7" customWidth="1" min="4" max="4"/>
    <col width="16" customWidth="1" min="5" max="5"/>
    <col width="25" customWidth="1" min="6" max="6"/>
    <col width="30" customWidth="1" min="7" max="7"/>
    <col width="30" customWidth="1" min="8" max="8"/>
    <col width="12" customWidth="1" min="9" max="9"/>
    <col width="17" customWidth="1" min="10" max="10"/>
    <col width="16" customWidth="1" min="11" max="11"/>
    <col width="24" customWidth="1" min="12" max="12"/>
    <col width="19" customWidth="1" min="13" max="13"/>
    <col width="18" customWidth="1" min="14" max="14"/>
    <col width="20" customWidth="1" min="15" max="15"/>
    <col width="61" customWidth="1" min="16" max="16"/>
    <col width="35" customWidth="1" min="17" max="17"/>
    <col width="42" customWidth="1" min="18" max="18"/>
    <col width="35" customWidth="1" min="19" max="19"/>
    <col width="38" customWidth="1" min="20" max="20"/>
    <col width="116" customWidth="1" min="21" max="21"/>
    <col width="100" customWidth="1" min="22" max="22"/>
  </cols>
  <sheetData>
    <row r="1" ht="32" customHeight="1">
      <c r="A1" s="6" t="inlineStr">
        <is>
          <t>CGM</t>
        </is>
      </c>
      <c r="B1" s="6" t="inlineStr">
        <is>
          <t>Nome do Cursista</t>
        </is>
      </c>
      <c r="C1" s="6" t="inlineStr">
        <is>
          <t>CPF</t>
        </is>
      </c>
      <c r="D1" s="6" t="inlineStr">
        <is>
          <t>E-mail Google</t>
        </is>
      </c>
      <c r="E1" s="6" t="inlineStr">
        <is>
          <t>NRE</t>
        </is>
      </c>
      <c r="F1" s="6" t="inlineStr">
        <is>
          <t>Componente Curricular</t>
        </is>
      </c>
      <c r="G1" s="6" t="inlineStr">
        <is>
          <t>Instituição Lotação</t>
        </is>
      </c>
      <c r="H1" s="6" t="inlineStr">
        <is>
          <t>Instituição Exercício</t>
        </is>
      </c>
      <c r="I1" s="6" t="inlineStr">
        <is>
          <t>Vínculo</t>
        </is>
      </c>
      <c r="J1" s="6" t="inlineStr">
        <is>
          <t>Carga Horária</t>
        </is>
      </c>
      <c r="K1" s="6" t="inlineStr">
        <is>
          <t>ID Turma</t>
        </is>
      </c>
      <c r="L1" s="6" t="inlineStr">
        <is>
          <t>Formador Responsável</t>
        </is>
      </c>
      <c r="M1" s="6" t="inlineStr">
        <is>
          <t>Início Concurso</t>
        </is>
      </c>
      <c r="N1" s="6" t="inlineStr">
        <is>
          <t>Início Estágio</t>
        </is>
      </c>
      <c r="O1" s="6" t="inlineStr">
        <is>
          <t>Dias Afastamento</t>
        </is>
      </c>
      <c r="P1" s="6" t="inlineStr">
        <is>
          <t>Nível (Ano)</t>
        </is>
      </c>
      <c r="Q1" s="6" t="inlineStr">
        <is>
          <t>Fim Estágio Previsto</t>
        </is>
      </c>
      <c r="R1" s="6" t="inlineStr">
        <is>
          <t>Data Limite Avaliação Formativa (-90d)</t>
        </is>
      </c>
      <c r="S1" s="6" t="inlineStr">
        <is>
          <t>Dias Restantes Estágio</t>
        </is>
      </c>
      <c r="T1" s="6" t="inlineStr">
        <is>
          <t>Dias Restantes Avaliação Formativa</t>
        </is>
      </c>
      <c r="U1" s="6" t="inlineStr">
        <is>
          <t>Status Avaliação Formativa</t>
        </is>
      </c>
      <c r="V1" s="6" t="inlineStr">
        <is>
          <t>Status Estágio Probatório</t>
        </is>
      </c>
    </row>
    <row r="2" ht="22" customHeight="1">
      <c r="A2" s="7" t="n">
        <v>1029384</v>
      </c>
      <c r="B2" s="5" t="inlineStr">
        <is>
          <t>Jorge Inacio Dotti</t>
        </is>
      </c>
      <c r="C2" s="5" t="inlineStr">
        <is>
          <t>123.456.789-00</t>
        </is>
      </c>
      <c r="D2" s="5" t="inlineStr">
        <is>
          <t>jorge.dotti@escola.pr.gov.br</t>
        </is>
      </c>
      <c r="E2" s="5" t="inlineStr">
        <is>
          <t>NRE Curitiba</t>
        </is>
      </c>
      <c r="F2" s="5" t="inlineStr">
        <is>
          <t>Matemática</t>
        </is>
      </c>
      <c r="G2" s="5" t="inlineStr">
        <is>
          <t>Colégio Estadual do Paraná</t>
        </is>
      </c>
      <c r="H2" s="5" t="inlineStr">
        <is>
          <t>Colégio Estadual do Paraná</t>
        </is>
      </c>
      <c r="I2" s="7" t="inlineStr">
        <is>
          <t>QPM</t>
        </is>
      </c>
      <c r="J2" s="7" t="inlineStr">
        <is>
          <t>20h</t>
        </is>
      </c>
      <c r="K2" s="7" t="inlineStr">
        <is>
          <t>TURMA-MAT-01</t>
        </is>
      </c>
      <c r="L2" s="5" t="inlineStr">
        <is>
          <t>Ana Maria Silva</t>
        </is>
      </c>
      <c r="M2" s="8" t="inlineStr">
        <is>
          <t>2024-07-12</t>
        </is>
      </c>
      <c r="N2" s="8" t="inlineStr">
        <is>
          <t>2024-07-12</t>
        </is>
      </c>
      <c r="O2" s="7" t="n">
        <v>0</v>
      </c>
      <c r="P2" s="9">
        <f>IF(N2="","",MIN(3,MAX(1,INT(YEARFRAC(N2,TODAY(),1))+1)))</f>
        <v/>
      </c>
      <c r="Q2" s="10">
        <f>IF(N2="","",EDATE(N2,36)-1+O2)</f>
        <v/>
      </c>
      <c r="R2" s="10">
        <f>IF(Q2="","",Q2-90)</f>
        <v/>
      </c>
      <c r="S2" s="9">
        <f>IF(Q2="","",MAX(0,Q2-TODAY()))</f>
        <v/>
      </c>
      <c r="T2" s="9">
        <f>IF(R2="","",MAX(0,R2-TODAY()))</f>
        <v/>
      </c>
      <c r="U2" s="9">
        <f>IF(R2="","",IF(TODAY()&gt;R2,"FINALIZADA (Prazo Excedido)",IF(T2&lt;=30,"ALERTA: Fim Próximo (30d)","EM ANDAMENTO")))</f>
        <v/>
      </c>
      <c r="V2" s="9">
        <f>IF(S2="","",IF(S2=0,"CONCLUÍDO",IF(TODAY()&gt;=R2,"FASE FINAL (Últimos 90 dias)","EM ANDAMENTO")))</f>
        <v/>
      </c>
    </row>
    <row r="3" ht="22" customHeight="1">
      <c r="A3" s="7" t="n">
        <v>2049581</v>
      </c>
      <c r="B3" s="5" t="inlineStr">
        <is>
          <t>Mariana Castro de Oliveira</t>
        </is>
      </c>
      <c r="C3" s="5" t="inlineStr">
        <is>
          <t>987.654.321-11</t>
        </is>
      </c>
      <c r="D3" s="5" t="inlineStr">
        <is>
          <t>mariana.castro@escola.pr.gov.br</t>
        </is>
      </c>
      <c r="E3" s="5" t="inlineStr">
        <is>
          <t>NRE Londrina</t>
        </is>
      </c>
      <c r="F3" s="5" t="inlineStr">
        <is>
          <t>Língua Portuguesa</t>
        </is>
      </c>
      <c r="G3" s="5" t="inlineStr">
        <is>
          <t>C.E. Vicente Rijo</t>
        </is>
      </c>
      <c r="H3" s="5" t="inlineStr">
        <is>
          <t>C.E. Vicente Rijo</t>
        </is>
      </c>
      <c r="I3" s="7" t="inlineStr">
        <is>
          <t>QPM</t>
        </is>
      </c>
      <c r="J3" s="7" t="inlineStr">
        <is>
          <t>40h</t>
        </is>
      </c>
      <c r="K3" s="7" t="inlineStr">
        <is>
          <t>TURMA-POR-02</t>
        </is>
      </c>
      <c r="L3" s="5" t="inlineStr">
        <is>
          <t>Carlos Eduardo</t>
        </is>
      </c>
      <c r="M3" s="8" t="inlineStr">
        <is>
          <t>2023-09-01</t>
        </is>
      </c>
      <c r="N3" s="8" t="inlineStr">
        <is>
          <t>2023-09-01</t>
        </is>
      </c>
      <c r="O3" s="7" t="n">
        <v>15</v>
      </c>
      <c r="P3" s="9">
        <f>IF(N3="","",MIN(3,MAX(1,INT(YEARFRAC(N3,TODAY(),1))+1)))</f>
        <v/>
      </c>
      <c r="Q3" s="10">
        <f>IF(N3="","",EDATE(N3,36)-1+O3)</f>
        <v/>
      </c>
      <c r="R3" s="10">
        <f>IF(Q3="","",Q3-90)</f>
        <v/>
      </c>
      <c r="S3" s="9">
        <f>IF(Q3="","",MAX(0,Q3-TODAY()))</f>
        <v/>
      </c>
      <c r="T3" s="9">
        <f>IF(R3="","",MAX(0,R3-TODAY()))</f>
        <v/>
      </c>
      <c r="U3" s="9">
        <f>IF(R3="","",IF(TODAY()&gt;R3,"FINALIZADA (Prazo Excedido)",IF(T3&lt;=30,"ALERTA: Fim Próximo (30d)","EM ANDAMENTO")))</f>
        <v/>
      </c>
      <c r="V3" s="9">
        <f>IF(S3="","",IF(S3=0,"CONCLUÍDO",IF(TODAY()&gt;=R3,"FASE FINAL (Últimos 90 dias)","EM ANDAMENTO")))</f>
        <v/>
      </c>
    </row>
    <row r="4" ht="22" customHeight="1">
      <c r="A4" s="7" t="n">
        <v>3058492</v>
      </c>
      <c r="B4" s="5" t="inlineStr">
        <is>
          <t>Roberto Carlos Ferreira</t>
        </is>
      </c>
      <c r="C4" s="5" t="inlineStr">
        <is>
          <t>456.789.012-22</t>
        </is>
      </c>
      <c r="D4" s="5" t="inlineStr">
        <is>
          <t>roberto.ferreira@escola.pr.gov.br</t>
        </is>
      </c>
      <c r="E4" s="5" t="inlineStr">
        <is>
          <t>NRE Maringá</t>
        </is>
      </c>
      <c r="F4" s="5" t="inlineStr">
        <is>
          <t>História</t>
        </is>
      </c>
      <c r="G4" s="5" t="inlineStr">
        <is>
          <t>C.E. Dr. Gastão Vidigal</t>
        </is>
      </c>
      <c r="H4" s="5" t="inlineStr">
        <is>
          <t>C.E. Dr. Gastão Vidigal</t>
        </is>
      </c>
      <c r="I4" s="7" t="inlineStr">
        <is>
          <t>QPM</t>
        </is>
      </c>
      <c r="J4" s="7" t="inlineStr">
        <is>
          <t>20h</t>
        </is>
      </c>
      <c r="K4" s="7" t="inlineStr">
        <is>
          <t>TURMA-HIS-01</t>
        </is>
      </c>
      <c r="L4" s="5" t="inlineStr">
        <is>
          <t>Fernanda Souza</t>
        </is>
      </c>
      <c r="M4" s="8" t="inlineStr">
        <is>
          <t>2022-02-15</t>
        </is>
      </c>
      <c r="N4" s="8" t="inlineStr">
        <is>
          <t>2022-02-15</t>
        </is>
      </c>
      <c r="O4" s="7" t="n">
        <v>30</v>
      </c>
      <c r="P4" s="9">
        <f>IF(N4="","",MIN(3,MAX(1,INT(YEARFRAC(N4,TODAY(),1))+1)))</f>
        <v/>
      </c>
      <c r="Q4" s="10">
        <f>IF(N4="","",EDATE(N4,36)-1+O4)</f>
        <v/>
      </c>
      <c r="R4" s="10">
        <f>IF(Q4="","",Q4-90)</f>
        <v/>
      </c>
      <c r="S4" s="9">
        <f>IF(Q4="","",MAX(0,Q4-TODAY()))</f>
        <v/>
      </c>
      <c r="T4" s="9">
        <f>IF(R4="","",MAX(0,R4-TODAY()))</f>
        <v/>
      </c>
      <c r="U4" s="9">
        <f>IF(R4="","",IF(TODAY()&gt;R4,"FINALIZADA (Prazo Excedido)",IF(T4&lt;=30,"ALERTA: Fim Próximo (30d)","EM ANDAMENTO")))</f>
        <v/>
      </c>
      <c r="V4" s="9">
        <f>IF(S4="","",IF(S4=0,"CONCLUÍDO",IF(TODAY()&gt;=R4,"FASE FINAL (Últimos 90 dias)","EM ANDAMENTO")))</f>
        <v/>
      </c>
    </row>
    <row r="5" ht="22" customHeight="1">
      <c r="A5" s="7" t="n">
        <v>4019283</v>
      </c>
      <c r="B5" s="5" t="inlineStr">
        <is>
          <t>Beatriz Souza Mendes</t>
        </is>
      </c>
      <c r="C5" s="5" t="inlineStr">
        <is>
          <t>789.012.345-33</t>
        </is>
      </c>
      <c r="D5" s="5" t="inlineStr">
        <is>
          <t>beatriz.mendes@escola.pr.gov.br</t>
        </is>
      </c>
      <c r="E5" s="5" t="inlineStr">
        <is>
          <t>NRE Cascavel</t>
        </is>
      </c>
      <c r="F5" s="5" t="inlineStr">
        <is>
          <t>Biologia</t>
        </is>
      </c>
      <c r="G5" s="5" t="inlineStr">
        <is>
          <t>C.E. Wilson Joffre</t>
        </is>
      </c>
      <c r="H5" s="5" t="inlineStr">
        <is>
          <t>C.E. Wilson Joffre</t>
        </is>
      </c>
      <c r="I5" s="7" t="inlineStr">
        <is>
          <t>PSS</t>
        </is>
      </c>
      <c r="J5" s="7" t="inlineStr">
        <is>
          <t>20h</t>
        </is>
      </c>
      <c r="K5" s="7" t="inlineStr">
        <is>
          <t>TURMA-BIO-01</t>
        </is>
      </c>
      <c r="L5" s="5" t="inlineStr">
        <is>
          <t>Juliana Lima</t>
        </is>
      </c>
      <c r="M5" s="8" t="inlineStr">
        <is>
          <t>2025-01-20</t>
        </is>
      </c>
      <c r="N5" s="8" t="inlineStr">
        <is>
          <t>2025-01-20</t>
        </is>
      </c>
      <c r="O5" s="7" t="n">
        <v>0</v>
      </c>
      <c r="P5" s="9">
        <f>IF(N5="","",MIN(3,MAX(1,INT(YEARFRAC(N5,TODAY(),1))+1)))</f>
        <v/>
      </c>
      <c r="Q5" s="10">
        <f>IF(N5="","",EDATE(N5,36)-1+O5)</f>
        <v/>
      </c>
      <c r="R5" s="10">
        <f>IF(Q5="","",Q5-90)</f>
        <v/>
      </c>
      <c r="S5" s="9">
        <f>IF(Q5="","",MAX(0,Q5-TODAY()))</f>
        <v/>
      </c>
      <c r="T5" s="9">
        <f>IF(R5="","",MAX(0,R5-TODAY()))</f>
        <v/>
      </c>
      <c r="U5" s="9">
        <f>IF(R5="","",IF(TODAY()&gt;R5,"FINALIZADA (Prazo Excedido)",IF(T5&lt;=30,"ALERTA: Fim Próximo (30d)","EM ANDAMENTO")))</f>
        <v/>
      </c>
      <c r="V5" s="9">
        <f>IF(S5="","",IF(S5=0,"CONCLUÍDO",IF(TODAY()&gt;=R5,"FASE FINAL (Últimos 90 dias)","EM ANDAMENTO")))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" t="inlineStr">
        <is>
          <t>PAINEL DE INDICADORES DE GESTÃO DA VIDA FUNCIONAL</t>
        </is>
      </c>
    </row>
    <row r="3">
      <c r="A3" s="3" t="inlineStr">
        <is>
          <t>INDICADOR</t>
        </is>
      </c>
      <c r="B3" s="3" t="inlineStr">
        <is>
          <t>QUANTIDADE</t>
        </is>
      </c>
    </row>
    <row r="4">
      <c r="A4" s="4" t="inlineStr">
        <is>
          <t>TOTAL DE CURSISTAS CADASTRADOS</t>
        </is>
      </c>
      <c r="B4" s="9">
        <f>COUNTA(VIDA_FUNCIONAL_ADM!A2:A1000)</f>
        <v/>
      </c>
    </row>
    <row r="5">
      <c r="A5" s="4" t="inlineStr">
        <is>
          <t>CURSISTAS EM ANDAMENTO</t>
        </is>
      </c>
      <c r="B5" s="9">
        <f>COUNTIF(VIDA_FUNCIONAL_ADM!V2:V1000, "EM ANDAMENTO")</f>
        <v/>
      </c>
    </row>
    <row r="6">
      <c r="A6" s="4" t="inlineStr">
        <is>
          <t>CURSISTAS NA FASE FINAL DE AVALIAÇÃO (ÚLTIMOS 90 DIAS)</t>
        </is>
      </c>
      <c r="B6" s="9">
        <f>COUNTIF(VIDA_FUNCIONAL_ADM!V2:V1000, "FASE FINAL (Últimos 90 dias)")</f>
        <v/>
      </c>
    </row>
    <row r="7">
      <c r="A7" s="4" t="inlineStr">
        <is>
          <t>ESTÁGIOS PROBATÓRIOS CONCLUÍDOS</t>
        </is>
      </c>
      <c r="B7" s="9">
        <f>COUNTIF(VIDA_FUNCIONAL_ADM!V2:V1000, "CONCLUÍDO")</f>
        <v/>
      </c>
    </row>
    <row r="8">
      <c r="A8" s="4" t="inlineStr">
        <is>
          <t>AVALIAÇÕES FORMATIVAS COM PRAZO EXCEDIDO</t>
        </is>
      </c>
      <c r="B8" s="9">
        <f>COUNTIF(VIDA_FUNCIONAL_ADM!U2:U1000, "FINALIZADA (Prazo Excedido)")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2026-08-26T13:22:46Z</dcterms:created>
  <dcterms:modified xmlns:dcterms="http://purl.org/dc/terms/" xmlns:xsi="http://www.w3.org/2001/XMLSchema-instance" xsi:type="dcterms:W3CDTF">2026-08-26T13:22:46Z</dcterms:modified>
</cp:coreProperties>
</file>